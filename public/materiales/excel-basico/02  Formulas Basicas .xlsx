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13.xml" ContentType="application/vnd.openxmlformats-officedocument.drawing+xml"/>
  <Override PartName="/xl/comments6.xml" ContentType="application/vnd.openxmlformats-officedocument.spreadsheetml.comments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rawings/drawing14.xml" ContentType="application/vnd.openxmlformats-officedocument.drawing+xml"/>
  <Override PartName="/xl/comments7.xml" ContentType="application/vnd.openxmlformats-officedocument.spreadsheetml.comments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diagrams/data8.xml" ContentType="application/vnd.openxmlformats-officedocument.drawingml.diagramData+xml"/>
  <Override PartName="/xl/diagrams/layout8.xml" ContentType="application/vnd.openxmlformats-officedocument.drawingml.diagramLayout+xml"/>
  <Override PartName="/xl/diagrams/quickStyle8.xml" ContentType="application/vnd.openxmlformats-officedocument.drawingml.diagramStyle+xml"/>
  <Override PartName="/xl/diagrams/colors8.xml" ContentType="application/vnd.openxmlformats-officedocument.drawingml.diagramColors+xml"/>
  <Override PartName="/xl/diagrams/drawing8.xml" ContentType="application/vnd.ms-office.drawingml.diagramDrawing+xml"/>
  <Override PartName="/xl/drawings/drawing16.xml" ContentType="application/vnd.openxmlformats-officedocument.drawing+xml"/>
  <Override PartName="/xl/comments9.xml" ContentType="application/vnd.openxmlformats-officedocument.spreadsheetml.comments+xml"/>
  <Override PartName="/xl/diagrams/data9.xml" ContentType="application/vnd.openxmlformats-officedocument.drawingml.diagramData+xml"/>
  <Override PartName="/xl/diagrams/layout9.xml" ContentType="application/vnd.openxmlformats-officedocument.drawingml.diagramLayout+xml"/>
  <Override PartName="/xl/diagrams/quickStyle9.xml" ContentType="application/vnd.openxmlformats-officedocument.drawingml.diagramStyle+xml"/>
  <Override PartName="/xl/diagrams/colors9.xml" ContentType="application/vnd.openxmlformats-officedocument.drawingml.diagramColors+xml"/>
  <Override PartName="/xl/diagrams/drawing9.xml" ContentType="application/vnd.ms-office.drawingml.diagramDrawing+xml"/>
  <Override PartName="/xl/drawings/drawing17.xml" ContentType="application/vnd.openxmlformats-officedocument.drawing+xml"/>
  <Override PartName="/xl/comments10.xml" ContentType="application/vnd.openxmlformats-officedocument.spreadsheetml.comments+xml"/>
  <Override PartName="/xl/diagrams/data10.xml" ContentType="application/vnd.openxmlformats-officedocument.drawingml.diagramData+xml"/>
  <Override PartName="/xl/diagrams/layout10.xml" ContentType="application/vnd.openxmlformats-officedocument.drawingml.diagramLayout+xml"/>
  <Override PartName="/xl/diagrams/quickStyle10.xml" ContentType="application/vnd.openxmlformats-officedocument.drawingml.diagramStyle+xml"/>
  <Override PartName="/xl/diagrams/colors10.xml" ContentType="application/vnd.openxmlformats-officedocument.drawingml.diagramColors+xml"/>
  <Override PartName="/xl/diagrams/drawing10.xml" ContentType="application/vnd.ms-office.drawingml.diagramDrawing+xml"/>
  <Override PartName="/xl/drawings/drawing18.xml" ContentType="application/vnd.openxmlformats-officedocument.drawing+xml"/>
  <Override PartName="/xl/comments11.xml" ContentType="application/vnd.openxmlformats-officedocument.spreadsheetml.comments+xml"/>
  <Override PartName="/xl/diagrams/data11.xml" ContentType="application/vnd.openxmlformats-officedocument.drawingml.diagramData+xml"/>
  <Override PartName="/xl/diagrams/layout11.xml" ContentType="application/vnd.openxmlformats-officedocument.drawingml.diagramLayout+xml"/>
  <Override PartName="/xl/diagrams/quickStyle11.xml" ContentType="application/vnd.openxmlformats-officedocument.drawingml.diagramStyle+xml"/>
  <Override PartName="/xl/diagrams/colors11.xml" ContentType="application/vnd.openxmlformats-officedocument.drawingml.diagramColors+xml"/>
  <Override PartName="/xl/diagrams/drawing11.xml" ContentType="application/vnd.ms-office.drawingml.diagramDrawing+xml"/>
  <Override PartName="/xl/drawings/drawing19.xml" ContentType="application/vnd.openxmlformats-officedocument.drawing+xml"/>
  <Override PartName="/xl/comments12.xml" ContentType="application/vnd.openxmlformats-officedocument.spreadsheetml.comments+xml"/>
  <Override PartName="/xl/diagrams/data12.xml" ContentType="application/vnd.openxmlformats-officedocument.drawingml.diagramData+xml"/>
  <Override PartName="/xl/diagrams/layout12.xml" ContentType="application/vnd.openxmlformats-officedocument.drawingml.diagramLayout+xml"/>
  <Override PartName="/xl/diagrams/quickStyle12.xml" ContentType="application/vnd.openxmlformats-officedocument.drawingml.diagramStyle+xml"/>
  <Override PartName="/xl/diagrams/colors12.xml" ContentType="application/vnd.openxmlformats-officedocument.drawingml.diagramColors+xml"/>
  <Override PartName="/xl/diagrams/drawing12.xml" ContentType="application/vnd.ms-office.drawingml.diagram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00c07cd801001e/Desktop/DataM/public/materiales/excel-basico/"/>
    </mc:Choice>
  </mc:AlternateContent>
  <xr:revisionPtr revIDLastSave="0" documentId="8_{1AAF5DB5-ACAF-4622-AC64-A2A0BC837821}" xr6:coauthVersionLast="47" xr6:coauthVersionMax="47" xr10:uidLastSave="{00000000-0000-0000-0000-000000000000}"/>
  <bookViews>
    <workbookView xWindow="-108" yWindow="-108" windowWidth="23256" windowHeight="12456" tabRatio="779" activeTab="6" xr2:uid="{00000000-000D-0000-FFFF-FFFF00000000}"/>
  </bookViews>
  <sheets>
    <sheet name="Inicio" sheetId="2" r:id="rId1"/>
    <sheet name="Conceptos básicos" sheetId="19" r:id="rId2"/>
    <sheet name="Operadores" sheetId="23" r:id="rId3"/>
    <sheet name="Parentisis" sheetId="24" r:id="rId4"/>
    <sheet name="Celda Relativa" sheetId="25" r:id="rId5"/>
    <sheet name="Celda Absoluta" sheetId="30" r:id="rId6"/>
    <sheet name="Celda Mixta" sheetId="31" r:id="rId7"/>
    <sheet name="Ejemplo 01" sheetId="26" r:id="rId8"/>
    <sheet name="Ejemplo 02" sheetId="32" r:id="rId9"/>
    <sheet name="Ejemplo 03" sheetId="33" r:id="rId10"/>
    <sheet name="Ejemplo 04" sheetId="34" r:id="rId11"/>
    <sheet name="Ejemplo 05" sheetId="35" r:id="rId12"/>
    <sheet name="Ejemplo 06" sheetId="36" r:id="rId13"/>
    <sheet name="Ejemplo 07" sheetId="37" r:id="rId14"/>
    <sheet name="Ejemplo 08" sheetId="38" r:id="rId15"/>
    <sheet name="Ejemplo 09" sheetId="39" r:id="rId16"/>
    <sheet name="Ejemplo 10" sheetId="40" r:id="rId17"/>
    <sheet name="Ejemplo 11" sheetId="41" r:id="rId18"/>
    <sheet name="Ejemplo 12" sheetId="42" r:id="rId19"/>
  </sheets>
  <externalReferences>
    <externalReference r:id="rId20"/>
  </externalReferences>
  <definedNames>
    <definedName name="_xlnm._FilterDatabase" localSheetId="1" hidden="1">[1]Basics!$P$9:$Q$10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31" l="1"/>
  <c r="D26" i="31"/>
  <c r="D25" i="31"/>
  <c r="M8" i="30"/>
  <c r="M7" i="30"/>
  <c r="M9" i="30"/>
  <c r="M10" i="30"/>
  <c r="M6" i="30"/>
  <c r="M7" i="25"/>
  <c r="M8" i="25"/>
  <c r="M9" i="25"/>
  <c r="M10" i="25"/>
  <c r="M6" i="25"/>
  <c r="J16" i="24"/>
  <c r="J15" i="24"/>
  <c r="J14" i="24"/>
  <c r="J13" i="24"/>
  <c r="J12" i="24"/>
  <c r="L59" i="23"/>
  <c r="L57" i="23"/>
  <c r="L55" i="23"/>
  <c r="L53" i="23"/>
  <c r="L51" i="23"/>
  <c r="L49" i="23"/>
  <c r="L44" i="23"/>
  <c r="L42" i="23"/>
  <c r="L40" i="23"/>
  <c r="L38" i="23"/>
  <c r="L36" i="23"/>
  <c r="L34" i="23"/>
  <c r="L32" i="23"/>
  <c r="C25" i="19"/>
  <c r="G25" i="19"/>
  <c r="G3" i="19"/>
  <c r="F3" i="19"/>
  <c r="F7" i="19"/>
  <c r="F6" i="19"/>
  <c r="F5" i="19"/>
  <c r="F4" i="19"/>
  <c r="C15" i="39"/>
  <c r="E15" i="39"/>
  <c r="L68" i="23"/>
  <c r="L66" i="23"/>
  <c r="R59" i="23" l="1"/>
  <c r="J10" i="30" l="1"/>
  <c r="J9" i="30" s="1"/>
  <c r="J8" i="30" s="1"/>
  <c r="J7" i="30" s="1"/>
  <c r="J6" i="30" s="1"/>
  <c r="E16" i="24"/>
  <c r="K16" i="24" s="1"/>
  <c r="E15" i="24"/>
  <c r="K15" i="24" s="1"/>
  <c r="E14" i="24"/>
  <c r="K14" i="24" s="1"/>
  <c r="E13" i="24"/>
  <c r="K13" i="24" s="1"/>
  <c r="E12" i="24"/>
  <c r="K12" i="24" s="1"/>
  <c r="G7" i="19" l="1"/>
  <c r="J43" i="19" l="1"/>
  <c r="G6" i="19" l="1"/>
  <c r="G5" i="19"/>
  <c r="G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E10" authorId="0" shapeId="0" xr:uid="{00000000-0006-0000-0700-000001000000}">
      <text>
        <r>
          <rPr>
            <sz val="10"/>
            <color indexed="9"/>
            <rFont val="Tahoma"/>
            <family val="2"/>
          </rPr>
          <t>JPCVirtual:
Digite la fórmula:
=D10 * E10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E10" authorId="0" shapeId="0" xr:uid="{00000000-0006-0000-0800-000001000000}">
      <text>
        <r>
          <rPr>
            <sz val="10"/>
            <color indexed="9"/>
            <rFont val="Tahoma"/>
            <family val="2"/>
          </rPr>
          <t>JPCVirtual:
Digite la fórmula:
=D10- C10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E10" authorId="0" shapeId="0" xr:uid="{00000000-0006-0000-0900-000001000000}">
      <text>
        <r>
          <rPr>
            <sz val="10"/>
            <color indexed="9"/>
            <rFont val="Tahoma"/>
            <family val="2"/>
          </rPr>
          <t>JPCVirtual:
Digite la fórmula:
=(D10-C10)/C10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F12" authorId="0" shapeId="0" xr:uid="{00000000-0006-0000-0A00-000001000000}">
      <text>
        <r>
          <rPr>
            <sz val="10"/>
            <color indexed="9"/>
            <rFont val="Tahoma"/>
            <family val="2"/>
          </rPr>
          <t>JPCVirtual:
Digite la fórmula:
=D12+E12</t>
        </r>
      </text>
    </comment>
    <comment ref="I12" authorId="0" shapeId="0" xr:uid="{00000000-0006-0000-0A00-000002000000}">
      <text>
        <r>
          <rPr>
            <sz val="10"/>
            <color indexed="9"/>
            <rFont val="Tahoma"/>
            <family val="2"/>
          </rPr>
          <t>JPCVirtual:
Digite la fórmula:
=G12+H12</t>
        </r>
      </text>
    </comment>
    <comment ref="J12" authorId="0" shapeId="0" xr:uid="{00000000-0006-0000-0A00-000003000000}">
      <text>
        <r>
          <rPr>
            <sz val="10"/>
            <color indexed="9"/>
            <rFont val="Tahoma"/>
            <family val="2"/>
          </rPr>
          <t>JPCVirtual:
Digite la fórmula:
=F12+I12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G10" authorId="0" shapeId="0" xr:uid="{00000000-0006-0000-0B00-000001000000}">
      <text>
        <r>
          <rPr>
            <sz val="10"/>
            <color indexed="9"/>
            <rFont val="Tahoma"/>
            <family val="2"/>
          </rPr>
          <t>JPCVirtual:
Digite la fórmula:
=C10+D10</t>
        </r>
      </text>
    </comment>
    <comment ref="H10" authorId="0" shapeId="0" xr:uid="{00000000-0006-0000-0B00-000002000000}">
      <text>
        <r>
          <rPr>
            <sz val="10"/>
            <color indexed="9"/>
            <rFont val="Tahoma"/>
            <family val="2"/>
          </rPr>
          <t>JPCVirtual:
Digite la fórmula:
=E10+F10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D12" authorId="0" shapeId="0" xr:uid="{00000000-0006-0000-0C00-000001000000}">
      <text>
        <r>
          <rPr>
            <sz val="10"/>
            <color indexed="9"/>
            <rFont val="Tahoma"/>
            <family val="2"/>
          </rPr>
          <t>JPCVirtual:
Digite la fórmula:
=C12/$C$7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F12" authorId="0" shapeId="0" xr:uid="{00000000-0006-0000-0D00-000001000000}">
      <text>
        <r>
          <rPr>
            <sz val="10"/>
            <color indexed="9"/>
            <rFont val="Tahoma"/>
            <family val="2"/>
          </rPr>
          <t>JPCVirtual:
Digite la fórmula:
=D12*E12*(1-$F$8)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E15" authorId="0" shapeId="0" xr:uid="{00000000-0006-0000-0E00-000001000000}">
      <text>
        <r>
          <rPr>
            <sz val="10"/>
            <color indexed="9"/>
            <rFont val="Tahoma"/>
            <family val="2"/>
          </rPr>
          <t>JPCVirtual:
Digite la fórmula:
=C15*D15</t>
        </r>
      </text>
    </comment>
    <comment ref="F15" authorId="0" shapeId="0" xr:uid="{00000000-0006-0000-0E00-000002000000}">
      <text>
        <r>
          <rPr>
            <sz val="10"/>
            <color indexed="9"/>
            <rFont val="Tahoma"/>
            <family val="2"/>
          </rPr>
          <t>JPCVirtual:
Digite la fórmula:
=E15*$D$10</t>
        </r>
      </text>
    </comment>
    <comment ref="G15" authorId="0" shapeId="0" xr:uid="{00000000-0006-0000-0E00-000003000000}">
      <text>
        <r>
          <rPr>
            <sz val="10"/>
            <color indexed="9"/>
            <rFont val="Tahoma"/>
            <family val="2"/>
          </rPr>
          <t>JPCVirtual:
Digite la fórmula:
=E15-F15</t>
        </r>
      </text>
    </comment>
    <comment ref="E20" authorId="0" shapeId="0" xr:uid="{00000000-0006-0000-0E00-000004000000}">
      <text>
        <r>
          <rPr>
            <sz val="10"/>
            <color indexed="9"/>
            <rFont val="Tahoma"/>
            <family val="2"/>
          </rPr>
          <t>JPCVirtual:
♥ Seleccione el rango E20:G20.
♥ Haga clic en el comando ∑ Autosuma</t>
        </r>
      </text>
    </comment>
    <comment ref="G21" authorId="0" shapeId="0" xr:uid="{00000000-0006-0000-0E00-000005000000}">
      <text>
        <r>
          <rPr>
            <sz val="10"/>
            <color indexed="9"/>
            <rFont val="Tahoma"/>
            <family val="2"/>
          </rPr>
          <t>JPCVirtual:
Digite la fórmula:
=G20*D11</t>
        </r>
      </text>
    </comment>
    <comment ref="G22" authorId="0" shapeId="0" xr:uid="{00000000-0006-0000-0E00-000006000000}">
      <text>
        <r>
          <rPr>
            <sz val="10"/>
            <color indexed="9"/>
            <rFont val="Tahoma"/>
            <family val="2"/>
          </rPr>
          <t>JPCVirtual:
Digite la fórmula:
=G20+G21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D9" authorId="0" shapeId="0" xr:uid="{00000000-0006-0000-0F00-000001000000}">
      <text>
        <r>
          <rPr>
            <sz val="10"/>
            <color indexed="9"/>
            <rFont val="Tahoma"/>
            <family val="2"/>
          </rPr>
          <t>JPCVirtual:
Digite la fórmula:
=C9/$C$15</t>
        </r>
      </text>
    </comment>
    <comment ref="F9" authorId="0" shapeId="0" xr:uid="{00000000-0006-0000-0F00-000002000000}">
      <text>
        <r>
          <rPr>
            <sz val="10"/>
            <color indexed="9"/>
            <rFont val="Tahoma"/>
            <family val="2"/>
          </rPr>
          <t>JPCVirtual:
Digite la fórmula:
=E9/$E$15</t>
        </r>
      </text>
    </comment>
    <comment ref="C15" authorId="0" shapeId="0" xr:uid="{00000000-0006-0000-0F00-000003000000}">
      <text>
        <r>
          <rPr>
            <sz val="10"/>
            <color indexed="9"/>
            <rFont val="Tahoma"/>
            <family val="2"/>
          </rPr>
          <t>JPCVirtual:
♥ Seleccione el rango C9:C15
♥ Haga clic en el comando ∑ Autosuma</t>
        </r>
      </text>
    </comment>
    <comment ref="E15" authorId="0" shapeId="0" xr:uid="{00000000-0006-0000-0F00-000004000000}">
      <text>
        <r>
          <rPr>
            <sz val="10"/>
            <color indexed="9"/>
            <rFont val="Tahoma"/>
            <family val="2"/>
          </rPr>
          <t>JPCVirtual:
♥ Seleccione el rango E9:E15
♥ Haga clic en el comando ∑ Autosuma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D10" authorId="0" shapeId="0" xr:uid="{00000000-0006-0000-1000-000001000000}">
      <text>
        <r>
          <rPr>
            <sz val="10"/>
            <color indexed="9"/>
            <rFont val="Tahoma"/>
            <family val="2"/>
          </rPr>
          <t>JPCVirtual:
Digite la fórmula:
=C10*D9
Con el profesor decidan donde debe ir el $.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D12" authorId="0" shapeId="0" xr:uid="{00000000-0006-0000-1100-000001000000}">
      <text>
        <r>
          <rPr>
            <sz val="10"/>
            <color indexed="9"/>
            <rFont val="Tahoma"/>
            <family val="2"/>
          </rPr>
          <t>JPCVirtual:
Digite la fórmula:
=C12+C12*D9
Con el profesor decidan donde debe ir el $.</t>
        </r>
      </text>
    </comment>
    <comment ref="K12" authorId="0" shapeId="0" xr:uid="{00000000-0006-0000-1100-000002000000}">
      <text>
        <r>
          <rPr>
            <sz val="10"/>
            <color indexed="9"/>
            <rFont val="Tahoma"/>
            <family val="2"/>
          </rPr>
          <t>JPCVirtual:
Digite la fórmula:
=J12/$J$18</t>
        </r>
      </text>
    </comment>
    <comment ref="D19" authorId="0" shapeId="0" xr:uid="{00000000-0006-0000-1100-000003000000}">
      <text>
        <r>
          <rPr>
            <sz val="10"/>
            <color indexed="9"/>
            <rFont val="Tahoma"/>
            <family val="2"/>
          </rPr>
          <t>JPCVirtual:
Digite la fórmula:
=D18/$J$18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JPCVirtual</author>
  </authors>
  <commentList>
    <comment ref="D12" authorId="0" shapeId="0" xr:uid="{00000000-0006-0000-1200-000001000000}">
      <text>
        <r>
          <rPr>
            <sz val="10"/>
            <color indexed="9"/>
            <rFont val="Tahoma"/>
            <family val="2"/>
          </rPr>
          <t>JPCVirtual:
Digite la fórmula:
=C12*D9
Con el profesor decidan donde debe ir el $.</t>
        </r>
      </text>
    </comment>
  </commentList>
</comments>
</file>

<file path=xl/sharedStrings.xml><?xml version="1.0" encoding="utf-8"?>
<sst xmlns="http://schemas.openxmlformats.org/spreadsheetml/2006/main" count="322" uniqueCount="271">
  <si>
    <t>Conceptos básicos: realizar operaciones matemáticas con Excel</t>
  </si>
  <si>
    <t xml:space="preserve">Puede sumar, restar, multiplicar y dividir en Excel sin tener que usar las funciones integradas. Solo tiene que usar algunos operadores básicos: +, -, *, /. Todas las fórmulas empiezan con un signo igual (=).
</t>
  </si>
  <si>
    <t xml:space="preserve">Para sumar, seleccione la celda F3, escriba =C3+C4 y, después, presione ENTRAR. 
</t>
  </si>
  <si>
    <t xml:space="preserve">Para restar, seleccione la celda F4, escriba =C3-C4 y, después, presione ENTRAR. </t>
  </si>
  <si>
    <t xml:space="preserve">Para multiplicar, seleccione la celda F5, escriba =C3*C4 y, después, presione ENTRAR.
</t>
  </si>
  <si>
    <t xml:space="preserve">Para dividir, seleccione la celda F6, escriba =C3/C4 y, después, presione ENTRAR.
</t>
  </si>
  <si>
    <t>Mire esto: cambie los números en las celdas C3 y C4 y vea cómo los resultados de las fórmulas cambian automáticamente.</t>
  </si>
  <si>
    <t>Vaya hacia abajo para obtener más detalles.</t>
  </si>
  <si>
    <t>Siguiente paso</t>
  </si>
  <si>
    <t>Más información sobre las fórmulas, celdas e intervalos</t>
  </si>
  <si>
    <t xml:space="preserve">Excel se compone de celdas individuales que se agrupan en filas y columnas. Las filas están numeradas y las columnas tienen letras. Hay más de 1 millón de filas y 16000 columnas, y se pueden incluir fórmulas en cualquiera de ellas. 
</t>
  </si>
  <si>
    <t xml:space="preserve">Observará que, en el tercer ejemplo anterior, usamos la función SUMA. Una función es un comando predefinido que toma valores, los calcula de alguna forma y devuelve un resultado. Por ejemplo, la función SUMA toma las referencias de celda o intervalos que especifique y los suma. En este ejemplo toma las celdas A1 a A10 y las suma. Excel tiene más de 400 funciones que puede explorar en la pestaña Fórmulas.
</t>
  </si>
  <si>
    <t xml:space="preserve">Las fórmulas con funciones empiezan con un signo igual, seguido del nombre de la función con los argumentos (los valores que usa una función para calcular) entre paréntesis. 
</t>
  </si>
  <si>
    <t xml:space="preserve">Para confirmar una fórmula, presione ENTRAR. Cuando lo haga la fórmula se calculará y el resultado se mostrará en la celda. Para ver la propia fórmula, puede ver la barra de fórmulas debajo de la cinta de opciones, o presionar F2 para entrar en el Modo de edición, donde verá la fórmula en la celda. Presione ENTRAR de nuevo para finalizar la fórmula y calcular el resultado.
</t>
  </si>
  <si>
    <t>Información sobre algunas fórmulas</t>
  </si>
  <si>
    <t>=SUM(A1:A10) es una fórmula, donde SUMA es el nombre de función, los paréntesis de apertura y cierre contienen los argumentos de la fórmula y A1:A10 es el intervalo de celdas de la función.</t>
  </si>
  <si>
    <t xml:space="preserve">INFORMACIÓN ÚTIL: Las constantes son valores que especifica en las celdas o fórmulas. Mientras que =10+20 puede calcular lo mismo que =A1+B1, no se recomienda usar constantes. ¿Por qué? Porque no puede ver fácilmente la constante sin seleccionar la celda y buscarla. Eso puede dificultar cambiarla más adelante. Es mucho más fácil colocar las constantes en celdas, donde pueden ajustarse fácilmente, y hacer referencia a ellas en las fórmulas.
Por ejemplo: Seleccione la celda amarilla con 12 a continuación. Verá que usamos la función SUMA con un intervalo de celdas. No escriba "4" o "8" directamente en la fórmula. 
</t>
  </si>
  <si>
    <t>Anterior</t>
  </si>
  <si>
    <t>Siguiente</t>
  </si>
  <si>
    <t>Más información en la Web</t>
  </si>
  <si>
    <t>Usar Excel como una calculadora</t>
  </si>
  <si>
    <t>Información general sobre fórmulas en Excel</t>
  </si>
  <si>
    <t xml:space="preserve">Funciones de Excel (por categoría) </t>
  </si>
  <si>
    <t>Funciones de Excel (orden alfabético) </t>
  </si>
  <si>
    <t>Aprendizaje gratuito de Excel en línea</t>
  </si>
  <si>
    <t>Números para usar:</t>
  </si>
  <si>
    <t>Operación:</t>
  </si>
  <si>
    <t xml:space="preserve">Suma (+) </t>
  </si>
  <si>
    <t xml:space="preserve">Resta (-) </t>
  </si>
  <si>
    <t xml:space="preserve">Multiplicación (*) </t>
  </si>
  <si>
    <t xml:space="preserve">División (/) </t>
  </si>
  <si>
    <t xml:space="preserve">Potencia (^) </t>
  </si>
  <si>
    <t>Fórmulas:</t>
  </si>
  <si>
    <t>Respuestas:</t>
  </si>
  <si>
    <t>Valores</t>
  </si>
  <si>
    <t>Importe</t>
  </si>
  <si>
    <t>Cantidad</t>
  </si>
  <si>
    <t xml:space="preserve">Las fórmulas pueden contener referencias a celdas, referencias a intervalos de celdas, operadores y constantes. Estos son algunos ejemplos de fórmulas:
=A1+B1
=10+20
=SUMA(A1:A10)
</t>
  </si>
  <si>
    <t>=SUM(A1:A10;C1:C10) es una fórmula, donde SUMA es el nombre de función, los paréntesis de apertura y cierre contienen los argumentos de la fórmula y A1:A10;C1:C10 son los intervalos de celdas de la función separados por una coma.</t>
  </si>
  <si>
    <t>CRÉDITO ADICIONAL: Puede elevar un valor a una potencia mediante el operador exponencial (^), por ejemplo =A1^A2. Puede escribirlo con AltGr+^. En la celda F7, escriba =C3^C4.</t>
  </si>
  <si>
    <t>=10+20 es una fórmula, donde 10 y 20 son constantes y el signo + es el operador.</t>
  </si>
  <si>
    <t>= 3*6+12/4-2</t>
  </si>
  <si>
    <t>= (3*6)+12/(4-2)</t>
  </si>
  <si>
    <t>= 3*(6+12)/4-2</t>
  </si>
  <si>
    <t>= (3*6+12)/4-2</t>
  </si>
  <si>
    <t>= 3*(6+12/4-2)</t>
  </si>
  <si>
    <t>Resultado</t>
  </si>
  <si>
    <t>Producto</t>
  </si>
  <si>
    <t>A1</t>
  </si>
  <si>
    <t>B1</t>
  </si>
  <si>
    <t>C1</t>
  </si>
  <si>
    <t>D1</t>
  </si>
  <si>
    <t>E1</t>
  </si>
  <si>
    <t>Precio</t>
  </si>
  <si>
    <t>Fecha</t>
  </si>
  <si>
    <t>Importe Dólar</t>
  </si>
  <si>
    <r>
      <t>=L6/</t>
    </r>
    <r>
      <rPr>
        <b/>
        <sz val="12"/>
        <color theme="8" tint="-0.499984740745262"/>
        <rFont val="Calibri"/>
        <family val="2"/>
      </rPr>
      <t>$K$2</t>
    </r>
  </si>
  <si>
    <r>
      <t>=L7/</t>
    </r>
    <r>
      <rPr>
        <b/>
        <sz val="12"/>
        <color theme="8" tint="-0.499984740745262"/>
        <rFont val="Calibri"/>
        <family val="2"/>
      </rPr>
      <t>$K$2</t>
    </r>
  </si>
  <si>
    <r>
      <t>=L8/</t>
    </r>
    <r>
      <rPr>
        <b/>
        <sz val="12"/>
        <color theme="8" tint="-0.499984740745262"/>
        <rFont val="Calibri"/>
        <family val="2"/>
      </rPr>
      <t>$K$2</t>
    </r>
  </si>
  <si>
    <r>
      <t>=L9/</t>
    </r>
    <r>
      <rPr>
        <b/>
        <sz val="12"/>
        <color theme="8" tint="-0.499984740745262"/>
        <rFont val="Calibri"/>
        <family val="2"/>
      </rPr>
      <t>$K$2</t>
    </r>
  </si>
  <si>
    <r>
      <t>=L10/</t>
    </r>
    <r>
      <rPr>
        <b/>
        <sz val="12"/>
        <color theme="8" tint="-0.499984740745262"/>
        <rFont val="Calibri"/>
        <family val="2"/>
      </rPr>
      <t>$K$2</t>
    </r>
  </si>
  <si>
    <t>Tipo C.</t>
  </si>
  <si>
    <t>Importe S/.</t>
  </si>
  <si>
    <t>Operadores Aritméticos</t>
  </si>
  <si>
    <t>Calcula:</t>
  </si>
  <si>
    <t>Suma</t>
  </si>
  <si>
    <t>La suma de 4 más 2/3</t>
  </si>
  <si>
    <t>Resta</t>
  </si>
  <si>
    <t>La resta de 2/3 menos 2/7</t>
  </si>
  <si>
    <t>Multiplicación</t>
  </si>
  <si>
    <t>División</t>
  </si>
  <si>
    <t>Porcentaje</t>
  </si>
  <si>
    <t>Potenciación</t>
  </si>
  <si>
    <t>La potencia de 2 elevado al cubo</t>
  </si>
  <si>
    <t>Negación</t>
  </si>
  <si>
    <t>El negativo de 10</t>
  </si>
  <si>
    <t>El producto 0.75 por 1000</t>
  </si>
  <si>
    <t>El cociente de 63 entre 9</t>
  </si>
  <si>
    <t>El 41% de 1000</t>
  </si>
  <si>
    <t>Operadores de Comparación</t>
  </si>
  <si>
    <t>Compara:</t>
  </si>
  <si>
    <t>Igual</t>
  </si>
  <si>
    <t>Si  0.75 es igual que 3/4</t>
  </si>
  <si>
    <t>Mayor</t>
  </si>
  <si>
    <t>Si  0.59 es mayor que 2/5</t>
  </si>
  <si>
    <t>Menor</t>
  </si>
  <si>
    <t>Si  39% es menor que 0.4</t>
  </si>
  <si>
    <t>Mayor o igual</t>
  </si>
  <si>
    <t>Si  0.29999 es mayor o igual que 1/7</t>
  </si>
  <si>
    <t>Menor o igual</t>
  </si>
  <si>
    <t>Si  1/6 es menor o igual que 0.24</t>
  </si>
  <si>
    <t>Diferente</t>
  </si>
  <si>
    <t>Si  2.5% es diferente de 1/40</t>
  </si>
  <si>
    <t>Operadores de Concatenación</t>
  </si>
  <si>
    <t>Texto1</t>
  </si>
  <si>
    <t>La constante práctica</t>
  </si>
  <si>
    <t>Texto2</t>
  </si>
  <si>
    <t>Une</t>
  </si>
  <si>
    <t>Une los textos de las celdas L64 y P64</t>
  </si>
  <si>
    <t>perfecciona</t>
  </si>
  <si>
    <t>y muchas oportunidades</t>
  </si>
  <si>
    <t>Operadores de referencia</t>
  </si>
  <si>
    <t>: (dos puntos)</t>
  </si>
  <si>
    <t>; (Punto y Coma)</t>
  </si>
  <si>
    <t>Espacio</t>
  </si>
  <si>
    <t>Productos</t>
  </si>
  <si>
    <t>Unidades</t>
  </si>
  <si>
    <t>Chocolates</t>
  </si>
  <si>
    <t>Galletas</t>
  </si>
  <si>
    <t>Gaseosas</t>
  </si>
  <si>
    <t>Frutas</t>
  </si>
  <si>
    <t>Verduras</t>
  </si>
  <si>
    <t>Compra</t>
  </si>
  <si>
    <t>Venta</t>
  </si>
  <si>
    <t>Saldo</t>
  </si>
  <si>
    <t>Fresas</t>
  </si>
  <si>
    <t>Mandarinas</t>
  </si>
  <si>
    <t>Naranjas</t>
  </si>
  <si>
    <t>Manzanas</t>
  </si>
  <si>
    <t>Peras</t>
  </si>
  <si>
    <t>Plátanos</t>
  </si>
  <si>
    <t>Entidad</t>
  </si>
  <si>
    <t>Variación %</t>
  </si>
  <si>
    <t>Banco de Crédito</t>
  </si>
  <si>
    <t>Interbanc</t>
  </si>
  <si>
    <t>ScotiaBanck</t>
  </si>
  <si>
    <t>Continental</t>
  </si>
  <si>
    <t>Banco Wiesse</t>
  </si>
  <si>
    <t>Banco de la Nación</t>
  </si>
  <si>
    <t>Al 31-12-16</t>
  </si>
  <si>
    <t>Al 31-12-17</t>
  </si>
  <si>
    <t>Descripción</t>
  </si>
  <si>
    <t>Marca</t>
  </si>
  <si>
    <t>Enero</t>
  </si>
  <si>
    <t>Febrero</t>
  </si>
  <si>
    <t>Bim 1</t>
  </si>
  <si>
    <t>Marzo</t>
  </si>
  <si>
    <t>Abril</t>
  </si>
  <si>
    <t>Bim 2</t>
  </si>
  <si>
    <t>Total</t>
  </si>
  <si>
    <t>Autos</t>
  </si>
  <si>
    <t>Totoyota</t>
  </si>
  <si>
    <t>Nisan</t>
  </si>
  <si>
    <t>Audi</t>
  </si>
  <si>
    <t>Camiones</t>
  </si>
  <si>
    <t>FORMA 1</t>
  </si>
  <si>
    <t>Cliente</t>
  </si>
  <si>
    <t xml:space="preserve">Monto </t>
  </si>
  <si>
    <t>Interés</t>
  </si>
  <si>
    <t>Fecha Prést</t>
  </si>
  <si>
    <t>Plazo (días)</t>
  </si>
  <si>
    <t>Fecha Pago</t>
  </si>
  <si>
    <t>David Roque</t>
  </si>
  <si>
    <t>César Guzman</t>
  </si>
  <si>
    <t>Luis Carbajal</t>
  </si>
  <si>
    <t>Pedro Vigilio</t>
  </si>
  <si>
    <t>Jorge Vilca</t>
  </si>
  <si>
    <t>Moneda Extranjera</t>
  </si>
  <si>
    <t>Moneda Nacional</t>
  </si>
  <si>
    <t>Productos Comprados</t>
  </si>
  <si>
    <t>Tasa de Cambio :</t>
  </si>
  <si>
    <t>Correa</t>
  </si>
  <si>
    <t>Pujaico Gutierrez, Jessica Karina</t>
  </si>
  <si>
    <t>Sacos</t>
  </si>
  <si>
    <t>Alban Cuestas, Gina Cecilia</t>
  </si>
  <si>
    <t>Chompas</t>
  </si>
  <si>
    <t xml:space="preserve">Barrientos Bórquez, Gabriela </t>
  </si>
  <si>
    <t>Pantalones</t>
  </si>
  <si>
    <t xml:space="preserve">Aguilar Casas, Samuel </t>
  </si>
  <si>
    <t>Camisas</t>
  </si>
  <si>
    <t xml:space="preserve">Zuschrott García, Valery </t>
  </si>
  <si>
    <t>Polos</t>
  </si>
  <si>
    <t xml:space="preserve">Chau Dimitriades, Jorge </t>
  </si>
  <si>
    <t>Martillo</t>
  </si>
  <si>
    <t>Lambruschini Tarazona, Erika Sarita</t>
  </si>
  <si>
    <t>Alicates</t>
  </si>
  <si>
    <t>Ordinola Delgado, Lidia Socorro</t>
  </si>
  <si>
    <t>Destornillador</t>
  </si>
  <si>
    <t>Vilca Vásquez, Jessica Kiara</t>
  </si>
  <si>
    <t>Arandela</t>
  </si>
  <si>
    <t>Hurtado Morales, Reyna</t>
  </si>
  <si>
    <t>Tornillo</t>
  </si>
  <si>
    <t>Woll Pizarro, Ursula Kay</t>
  </si>
  <si>
    <t>Tuerca</t>
  </si>
  <si>
    <t>Cámero Kuroki, Patricia Lourdes</t>
  </si>
  <si>
    <t>Total a pagar</t>
  </si>
  <si>
    <t>NombreProducto</t>
  </si>
  <si>
    <t>Descuento</t>
  </si>
  <si>
    <t>Total con IGV</t>
  </si>
  <si>
    <t>IGV</t>
  </si>
  <si>
    <t>Totales</t>
  </si>
  <si>
    <t>Excel PowerPivot</t>
  </si>
  <si>
    <t>Excel Avanzado</t>
  </si>
  <si>
    <t>Excel Intermedio</t>
  </si>
  <si>
    <t>Excel Básico</t>
  </si>
  <si>
    <t>SubTotal</t>
  </si>
  <si>
    <t>Libro</t>
  </si>
  <si>
    <t>IVA</t>
  </si>
  <si>
    <t>TOTAL</t>
  </si>
  <si>
    <t>JUNIO</t>
  </si>
  <si>
    <t>MAYO</t>
  </si>
  <si>
    <t>ABRIL</t>
  </si>
  <si>
    <t>MARZO</t>
  </si>
  <si>
    <t>FEBRERO</t>
  </si>
  <si>
    <t>ENERO</t>
  </si>
  <si>
    <t>% Vestido</t>
  </si>
  <si>
    <t>VESTIDOS</t>
  </si>
  <si>
    <t>% Camisa</t>
  </si>
  <si>
    <t>CAMISAS</t>
  </si>
  <si>
    <t>MESES</t>
  </si>
  <si>
    <t>VENTAS SEMESTRALES</t>
  </si>
  <si>
    <t>Producción</t>
  </si>
  <si>
    <t>Artículos</t>
  </si>
  <si>
    <t>Oeste</t>
  </si>
  <si>
    <t>Este</t>
  </si>
  <si>
    <t>Sur</t>
  </si>
  <si>
    <t>Norte</t>
  </si>
  <si>
    <t>Almacenes</t>
  </si>
  <si>
    <t>% MES</t>
  </si>
  <si>
    <t>TOT MES</t>
  </si>
  <si>
    <t>Excel Empresarial</t>
  </si>
  <si>
    <t>Excel Financiero</t>
  </si>
  <si>
    <t>% PROD</t>
  </si>
  <si>
    <t>TOT PROD</t>
  </si>
  <si>
    <t>JUN</t>
  </si>
  <si>
    <t>MAY</t>
  </si>
  <si>
    <t>ABR</t>
  </si>
  <si>
    <t>MAR</t>
  </si>
  <si>
    <t>FEB</t>
  </si>
  <si>
    <t>ENE</t>
  </si>
  <si>
    <t>PRODUCTO</t>
  </si>
  <si>
    <t>Crecimiento</t>
  </si>
  <si>
    <t>PROYECCION DE VENTAS 1º SEMESTRE</t>
  </si>
  <si>
    <t>Marisol</t>
  </si>
  <si>
    <t>Giovana</t>
  </si>
  <si>
    <t>Maria</t>
  </si>
  <si>
    <t>Miriam</t>
  </si>
  <si>
    <t>Delia</t>
  </si>
  <si>
    <t>Zulma</t>
  </si>
  <si>
    <t>Laura</t>
  </si>
  <si>
    <t>Junio</t>
  </si>
  <si>
    <t>Mayo</t>
  </si>
  <si>
    <t>Sueldo</t>
  </si>
  <si>
    <t>Empleados</t>
  </si>
  <si>
    <r>
      <t>=D12*E12*(1-</t>
    </r>
    <r>
      <rPr>
        <b/>
        <sz val="11"/>
        <color theme="0"/>
        <rFont val="Calibri"/>
        <family val="2"/>
        <scheme val="minor"/>
      </rPr>
      <t>$F$8</t>
    </r>
    <r>
      <rPr>
        <sz val="11"/>
        <color theme="0"/>
        <rFont val="Calibri"/>
        <family val="2"/>
        <scheme val="minor"/>
      </rPr>
      <t>)</t>
    </r>
  </si>
  <si>
    <r>
      <t>=D7*E7*(1-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</si>
  <si>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=D8*E8*(1-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</si>
  <si>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=D9*E9*(1-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</si>
  <si>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=D10*E10*(1-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</si>
  <si>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=D11*E11*(1-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</si>
  <si>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=D12*E12*(1-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</si>
  <si>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=D13*E13*(1-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</si>
  <si>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=D14*E14*(1-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</si>
  <si>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=D15*E15*(1-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</si>
  <si>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=D16*E16*(1-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</si>
  <si>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r>
      <t>=D17*E17*(1-</t>
    </r>
    <r>
      <rPr>
        <b/>
        <sz val="11"/>
        <color theme="0"/>
        <rFont val="Calibri"/>
        <family val="2"/>
        <scheme val="minor"/>
      </rPr>
      <t>$F$2</t>
    </r>
    <r>
      <rPr>
        <sz val="11"/>
        <color theme="0"/>
        <rFont val="Calibri"/>
        <family val="2"/>
      </rPr>
      <t>)</t>
    </r>
  </si>
  <si>
    <t>JPCVirtual</t>
  </si>
  <si>
    <t>DESCUENTOS - FONDO FAMILIAR</t>
  </si>
  <si>
    <t>Incremento</t>
  </si>
  <si>
    <t>Diciembre</t>
  </si>
  <si>
    <t>=K6*L6</t>
  </si>
  <si>
    <t>=K7*L7</t>
  </si>
  <si>
    <t>=K8*L8</t>
  </si>
  <si>
    <t>=K9*L9</t>
  </si>
  <si>
    <t>=K10*L10</t>
  </si>
  <si>
    <t>Diciembre 2023</t>
  </si>
  <si>
    <t>E25</t>
  </si>
  <si>
    <t>F25</t>
  </si>
  <si>
    <t>CONSTANTE</t>
  </si>
  <si>
    <t>FORMULA</t>
  </si>
  <si>
    <t xml:space="preserve"> =SUMA(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</si>
</sst>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#\ ???/???"/>
    <numFmt numFmtId="165" formatCode="0.0%"/>
    <numFmt numFmtId="166" formatCode="#,##0.00;[Red]#,##0.00"/>
    <numFmt numFmtId="167" formatCode="_-[$$-409]* #,##0.00_ ;_-[$$-409]* \-#,##0.00\ ;_-[$$-409]* &quot;-&quot;??_ ;_-@_ "/>
    <numFmt numFmtId="168" formatCode="_-[$$-540A]* #,##0.00_ ;_-[$$-540A]* \-#,##0.00\ ;_-[$$-540A]* &quot;-&quot;??_ ;_-@_ "/>
    <numFmt numFmtId="169" formatCode="&quot;$&quot;\ #,##0.00;&quot;$&quot;\ \-#,##0.00"/>
    <numFmt numFmtId="170" formatCode="_ * #,##0.00_ ;_ * \-#,##0.00_ ;_ * &quot;-&quot;??_ ;_ @_ "/>
    <numFmt numFmtId="171" formatCode="_-* #,##0_-;\-* #,##0_-;_-* &quot;-&quot;??_-;_-@_-"/>
  </numFmts>
  <fonts count="59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11"/>
      <color theme="1"/>
      <name val="Calibri"/>
      <family val="2"/>
      <scheme val="minor"/>
    </font>
    <font>
      <sz val="72"/>
      <color theme="0"/>
      <name val="Calibri Light"/>
      <family val="2"/>
      <scheme val="major"/>
    </font>
    <font>
      <sz val="17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20"/>
      <color rgb="FF000000"/>
      <name val="Courier New"/>
      <family val="3"/>
    </font>
    <font>
      <sz val="22"/>
      <color rgb="FF3B3838"/>
      <name val="Segoe UI Light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 tint="0.249977111117893"/>
      <name val="Calibri"/>
      <family val="2"/>
    </font>
    <font>
      <b/>
      <sz val="11"/>
      <color theme="1"/>
      <name val="Calibri"/>
      <family val="2"/>
    </font>
    <font>
      <sz val="14"/>
      <color theme="0" tint="-4.9989318521683403E-2"/>
      <name val="Calibri"/>
      <family val="2"/>
    </font>
    <font>
      <sz val="11"/>
      <color rgb="FF000099"/>
      <name val="Calibri"/>
      <family val="2"/>
    </font>
    <font>
      <b/>
      <sz val="12"/>
      <color theme="9" tint="-0.499984740745262"/>
      <name val="Calibri"/>
      <family val="2"/>
    </font>
    <font>
      <b/>
      <sz val="12"/>
      <color theme="8" tint="-0.499984740745262"/>
      <name val="Calibri"/>
      <family val="2"/>
    </font>
    <font>
      <sz val="11"/>
      <color theme="1"/>
      <name val="Calibri"/>
      <family val="2"/>
    </font>
    <font>
      <b/>
      <u/>
      <sz val="10"/>
      <color rgb="FF002060"/>
      <name val="Arial"/>
      <family val="2"/>
    </font>
    <font>
      <b/>
      <sz val="10"/>
      <name val="Arial Narrow"/>
      <family val="2"/>
    </font>
    <font>
      <b/>
      <sz val="10"/>
      <color rgb="FF002060"/>
      <name val="Arial"/>
      <family val="2"/>
    </font>
    <font>
      <sz val="11"/>
      <color rgb="FF217346"/>
      <name val="Calibri"/>
      <family val="2"/>
    </font>
    <font>
      <b/>
      <sz val="11"/>
      <color rgb="FF217346"/>
      <name val="Calibri"/>
      <family val="2"/>
    </font>
    <font>
      <b/>
      <sz val="11"/>
      <color rgb="FF000099"/>
      <name val="Arial Narrow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indexed="9"/>
      <name val="Tahoma"/>
      <family val="2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sz val="12"/>
      <color rgb="FF002060"/>
      <name val="Arial"/>
      <family val="2"/>
    </font>
    <font>
      <sz val="12"/>
      <color indexed="12"/>
      <name val="Arial"/>
      <family val="2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0"/>
      <color theme="3" tint="-0.499984740745262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sz val="11"/>
      <color rgb="FF217346"/>
      <name val="Calibri"/>
      <family val="2"/>
      <scheme val="minor"/>
    </font>
    <font>
      <b/>
      <sz val="10"/>
      <color rgb="FF217346"/>
      <name val="Arial"/>
      <family val="2"/>
    </font>
    <font>
      <b/>
      <sz val="10"/>
      <color rgb="FF217346"/>
      <name val="MS Sans Serif"/>
      <family val="2"/>
    </font>
    <font>
      <sz val="16"/>
      <color theme="0"/>
      <name val="Arial"/>
      <family val="2"/>
    </font>
    <font>
      <b/>
      <sz val="24"/>
      <color rgb="FF217346"/>
      <name val="Calibri"/>
      <family val="2"/>
      <scheme val="minor"/>
    </font>
    <font>
      <sz val="11"/>
      <color rgb="FFFFFF00"/>
      <name val="Calibri"/>
      <family val="2"/>
    </font>
    <font>
      <sz val="8"/>
      <name val="Calibri"/>
      <family val="2"/>
    </font>
    <font>
      <b/>
      <sz val="22"/>
      <color rgb="FF3B3838"/>
      <name val="Segoe UI 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  <border>
      <left/>
      <right/>
      <top style="thin">
        <color theme="6" tint="-0.24994659260841701"/>
      </top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4659260841701"/>
      </right>
      <top style="thin">
        <color rgb="FFB2B2B2"/>
      </top>
      <bottom style="thin">
        <color rgb="FFB2B2B2"/>
      </bottom>
      <diagonal/>
    </border>
    <border>
      <left style="thin">
        <color theme="6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6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6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6" tint="-0.24994659260841701"/>
      </bottom>
      <diagonal/>
    </border>
    <border>
      <left style="dashed">
        <color indexed="62"/>
      </left>
      <right style="dashed">
        <color indexed="62"/>
      </right>
      <top style="dashed">
        <color indexed="62"/>
      </top>
      <bottom style="dashed">
        <color indexed="62"/>
      </bottom>
      <diagonal/>
    </border>
    <border>
      <left style="thin">
        <color rgb="FF217346"/>
      </left>
      <right style="thin">
        <color rgb="FF217346"/>
      </right>
      <top style="thin">
        <color rgb="FF217346"/>
      </top>
      <bottom style="thin">
        <color rgb="FF217346"/>
      </bottom>
      <diagonal/>
    </border>
    <border>
      <left style="dashed">
        <color indexed="62"/>
      </left>
      <right/>
      <top style="dashed">
        <color indexed="62"/>
      </top>
      <bottom style="dashed">
        <color indexed="62"/>
      </bottom>
      <diagonal/>
    </border>
    <border>
      <left/>
      <right/>
      <top style="dashed">
        <color indexed="62"/>
      </top>
      <bottom style="dashed">
        <color indexed="62"/>
      </bottom>
      <diagonal/>
    </border>
    <border>
      <left/>
      <right style="dashed">
        <color indexed="62"/>
      </right>
      <top style="dashed">
        <color indexed="62"/>
      </top>
      <bottom style="dashed">
        <color indexed="62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rgb="FF000099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/>
      <right/>
      <top style="medium">
        <color rgb="FF002060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rgb="FF217346"/>
      </left>
      <right/>
      <top style="medium">
        <color rgb="FF217346"/>
      </top>
      <bottom/>
      <diagonal/>
    </border>
    <border>
      <left/>
      <right/>
      <top style="medium">
        <color rgb="FF217346"/>
      </top>
      <bottom/>
      <diagonal/>
    </border>
    <border>
      <left/>
      <right style="medium">
        <color rgb="FF217346"/>
      </right>
      <top style="medium">
        <color rgb="FF217346"/>
      </top>
      <bottom/>
      <diagonal/>
    </border>
    <border>
      <left style="medium">
        <color rgb="FF217346"/>
      </left>
      <right/>
      <top style="medium">
        <color rgb="FF002060"/>
      </top>
      <bottom/>
      <diagonal/>
    </border>
    <border>
      <left/>
      <right style="medium">
        <color rgb="FF217346"/>
      </right>
      <top style="medium">
        <color rgb="FF002060"/>
      </top>
      <bottom/>
      <diagonal/>
    </border>
    <border>
      <left style="medium">
        <color rgb="FF217346"/>
      </left>
      <right/>
      <top/>
      <bottom/>
      <diagonal/>
    </border>
    <border>
      <left/>
      <right style="medium">
        <color rgb="FF217346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rgb="FF217346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rgb="FF217346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rgb="FF217346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medium">
        <color rgb="FF217346"/>
      </right>
      <top style="thin">
        <color theme="9" tint="0.39994506668294322"/>
      </top>
      <bottom/>
      <diagonal/>
    </border>
    <border>
      <left style="medium">
        <color rgb="FF217346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medium">
        <color rgb="FF217346"/>
      </right>
      <top/>
      <bottom/>
      <diagonal/>
    </border>
    <border>
      <left style="medium">
        <color rgb="FF217346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medium">
        <color rgb="FF217346"/>
      </left>
      <right/>
      <top style="medium">
        <color rgb="FF217346"/>
      </top>
      <bottom style="medium">
        <color rgb="FF217346"/>
      </bottom>
      <diagonal/>
    </border>
    <border>
      <left/>
      <right/>
      <top style="medium">
        <color rgb="FF217346"/>
      </top>
      <bottom style="medium">
        <color rgb="FF217346"/>
      </bottom>
      <diagonal/>
    </border>
    <border>
      <left/>
      <right style="medium">
        <color rgb="FF217346"/>
      </right>
      <top style="medium">
        <color rgb="FF217346"/>
      </top>
      <bottom style="medium">
        <color rgb="FF21734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4">
    <xf numFmtId="0" fontId="0" fillId="0" borderId="0"/>
    <xf numFmtId="0" fontId="8" fillId="0" borderId="0" applyFill="0" applyBorder="0">
      <alignment wrapText="1"/>
    </xf>
    <xf numFmtId="0" fontId="9" fillId="0" borderId="0"/>
    <xf numFmtId="0" fontId="10" fillId="2" borderId="0" applyNumberFormat="0" applyBorder="0" applyProtection="0">
      <alignment horizontal="left" indent="1"/>
    </xf>
    <xf numFmtId="0" fontId="11" fillId="2" borderId="0" applyNumberFormat="0" applyProtection="0">
      <alignment horizontal="left" wrapText="1" indent="4"/>
    </xf>
    <xf numFmtId="0" fontId="8" fillId="2" borderId="0" applyNumberFormat="0" applyProtection="0">
      <alignment horizontal="left" wrapText="1" indent="4"/>
    </xf>
    <xf numFmtId="0" fontId="12" fillId="0" borderId="0"/>
    <xf numFmtId="0" fontId="12" fillId="3" borderId="0" applyNumberFormat="0" applyBorder="0" applyProtection="0"/>
    <xf numFmtId="0" fontId="9" fillId="4" borderId="0"/>
    <xf numFmtId="0" fontId="9" fillId="5" borderId="1"/>
    <xf numFmtId="0" fontId="9" fillId="4" borderId="2"/>
    <xf numFmtId="0" fontId="7" fillId="0" borderId="0"/>
    <xf numFmtId="0" fontId="7" fillId="4" borderId="0"/>
    <xf numFmtId="0" fontId="7" fillId="5" borderId="1"/>
    <xf numFmtId="0" fontId="7" fillId="4" borderId="2"/>
    <xf numFmtId="0" fontId="6" fillId="0" borderId="0"/>
    <xf numFmtId="0" fontId="5" fillId="4" borderId="0"/>
    <xf numFmtId="0" fontId="5" fillId="5" borderId="1"/>
    <xf numFmtId="0" fontId="5" fillId="4" borderId="2"/>
    <xf numFmtId="9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198">
    <xf numFmtId="0" fontId="0" fillId="0" borderId="0" xfId="0"/>
    <xf numFmtId="0" fontId="12" fillId="3" borderId="0" xfId="7"/>
    <xf numFmtId="0" fontId="12" fillId="3" borderId="0" xfId="7" applyAlignment="1">
      <alignment horizontal="right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horizontal="centerContinuous" vertical="center"/>
    </xf>
    <xf numFmtId="0" fontId="12" fillId="3" borderId="0" xfId="7" applyAlignment="1">
      <alignment horizontal="center" vertical="center"/>
    </xf>
    <xf numFmtId="0" fontId="14" fillId="0" borderId="0" xfId="0" quotePrefix="1" applyFont="1"/>
    <xf numFmtId="0" fontId="4" fillId="4" borderId="4" xfId="8" applyFont="1" applyBorder="1"/>
    <xf numFmtId="0" fontId="4" fillId="4" borderId="2" xfId="10" applyFont="1"/>
    <xf numFmtId="0" fontId="4" fillId="4" borderId="2" xfId="14" applyFont="1"/>
    <xf numFmtId="0" fontId="0" fillId="0" borderId="0" xfId="0" applyAlignment="1">
      <alignment horizontal="centerContinuous"/>
    </xf>
    <xf numFmtId="0" fontId="4" fillId="4" borderId="4" xfId="16" applyFont="1" applyBorder="1" applyAlignment="1">
      <alignment horizontal="left"/>
    </xf>
    <xf numFmtId="0" fontId="4" fillId="5" borderId="3" xfId="17" applyFont="1" applyBorder="1"/>
    <xf numFmtId="0" fontId="4" fillId="4" borderId="0" xfId="16" applyFont="1"/>
    <xf numFmtId="0" fontId="4" fillId="5" borderId="1" xfId="17" applyFont="1"/>
    <xf numFmtId="0" fontId="17" fillId="0" borderId="0" xfId="2" applyFont="1"/>
    <xf numFmtId="0" fontId="0" fillId="0" borderId="0" xfId="0" applyProtection="1">
      <protection hidden="1"/>
    </xf>
    <xf numFmtId="0" fontId="21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23" fillId="0" borderId="0" xfId="0" applyFont="1" applyProtection="1">
      <protection hidden="1"/>
    </xf>
    <xf numFmtId="0" fontId="20" fillId="0" borderId="5" xfId="0" applyFont="1" applyBorder="1" applyProtection="1">
      <protection locked="0"/>
    </xf>
    <xf numFmtId="0" fontId="21" fillId="0" borderId="5" xfId="0" applyFont="1" applyBorder="1" applyProtection="1">
      <protection locked="0"/>
    </xf>
    <xf numFmtId="0" fontId="4" fillId="4" borderId="12" xfId="8" applyFont="1" applyBorder="1"/>
    <xf numFmtId="0" fontId="4" fillId="4" borderId="13" xfId="16" applyFont="1" applyBorder="1" applyAlignment="1">
      <alignment horizontal="left"/>
    </xf>
    <xf numFmtId="0" fontId="4" fillId="4" borderId="14" xfId="16" applyFont="1" applyBorder="1" applyAlignment="1">
      <alignment horizontal="left"/>
    </xf>
    <xf numFmtId="0" fontId="3" fillId="4" borderId="9" xfId="16" applyFont="1" applyBorder="1" applyAlignment="1">
      <alignment horizontal="left"/>
    </xf>
    <xf numFmtId="0" fontId="3" fillId="4" borderId="11" xfId="16" applyFont="1" applyBorder="1" applyAlignment="1">
      <alignment horizontal="left"/>
    </xf>
    <xf numFmtId="0" fontId="12" fillId="3" borderId="6" xfId="7" applyBorder="1" applyAlignment="1">
      <alignment horizontal="center" vertical="center"/>
    </xf>
    <xf numFmtId="0" fontId="12" fillId="3" borderId="7" xfId="7" applyBorder="1" applyAlignment="1">
      <alignment horizontal="center" vertical="center"/>
    </xf>
    <xf numFmtId="0" fontId="12" fillId="3" borderId="8" xfId="7" applyBorder="1" applyAlignment="1">
      <alignment horizontal="center" vertical="center"/>
    </xf>
    <xf numFmtId="0" fontId="3" fillId="5" borderId="10" xfId="17" quotePrefix="1" applyFont="1" applyBorder="1"/>
    <xf numFmtId="0" fontId="24" fillId="0" borderId="0" xfId="0" quotePrefix="1" applyFont="1"/>
    <xf numFmtId="14" fontId="3" fillId="4" borderId="11" xfId="16" applyNumberFormat="1" applyFont="1" applyBorder="1" applyAlignment="1">
      <alignment horizontal="left"/>
    </xf>
    <xf numFmtId="14" fontId="3" fillId="4" borderId="9" xfId="16" applyNumberFormat="1" applyFont="1" applyBorder="1" applyAlignment="1">
      <alignment horizontal="left"/>
    </xf>
    <xf numFmtId="0" fontId="3" fillId="4" borderId="9" xfId="16" applyFont="1" applyBorder="1" applyAlignment="1">
      <alignment horizontal="center" vertical="center"/>
    </xf>
    <xf numFmtId="0" fontId="3" fillId="4" borderId="11" xfId="16" applyFont="1" applyBorder="1" applyAlignment="1">
      <alignment horizontal="center" vertical="center"/>
    </xf>
    <xf numFmtId="4" fontId="13" fillId="5" borderId="10" xfId="17" quotePrefix="1" applyNumberFormat="1" applyFont="1" applyBorder="1"/>
    <xf numFmtId="0" fontId="27" fillId="0" borderId="0" xfId="0" applyFont="1"/>
    <xf numFmtId="0" fontId="28" fillId="0" borderId="15" xfId="0" applyFont="1" applyBorder="1"/>
    <xf numFmtId="0" fontId="1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6" xfId="0" applyBorder="1"/>
    <xf numFmtId="12" fontId="0" fillId="0" borderId="16" xfId="0" applyNumberFormat="1" applyBorder="1"/>
    <xf numFmtId="9" fontId="0" fillId="0" borderId="16" xfId="0" applyNumberFormat="1" applyBorder="1"/>
    <xf numFmtId="0" fontId="0" fillId="0" borderId="0" xfId="0" applyAlignment="1">
      <alignment horizontal="left" indent="2"/>
    </xf>
    <xf numFmtId="2" fontId="0" fillId="0" borderId="16" xfId="0" applyNumberFormat="1" applyBorder="1"/>
    <xf numFmtId="164" fontId="0" fillId="0" borderId="16" xfId="0" applyNumberFormat="1" applyBorder="1"/>
    <xf numFmtId="165" fontId="0" fillId="0" borderId="16" xfId="0" applyNumberFormat="1" applyBorder="1"/>
    <xf numFmtId="0" fontId="29" fillId="0" borderId="0" xfId="0" applyFont="1"/>
    <xf numFmtId="0" fontId="13" fillId="0" borderId="0" xfId="0" applyFont="1"/>
    <xf numFmtId="0" fontId="30" fillId="0" borderId="0" xfId="0" applyFont="1"/>
    <xf numFmtId="0" fontId="31" fillId="0" borderId="0" xfId="0" applyFont="1"/>
    <xf numFmtId="0" fontId="13" fillId="0" borderId="0" xfId="0" applyFont="1" applyAlignment="1">
      <alignment horizontal="left" vertical="center" indent="1"/>
    </xf>
    <xf numFmtId="0" fontId="30" fillId="0" borderId="0" xfId="0" applyFont="1" applyAlignment="1">
      <alignment vertical="center"/>
    </xf>
    <xf numFmtId="0" fontId="32" fillId="0" borderId="15" xfId="0" applyFont="1" applyBorder="1"/>
    <xf numFmtId="0" fontId="33" fillId="6" borderId="20" xfId="0" applyFont="1" applyFill="1" applyBorder="1"/>
    <xf numFmtId="0" fontId="34" fillId="7" borderId="20" xfId="0" applyFont="1" applyFill="1" applyBorder="1"/>
    <xf numFmtId="0" fontId="34" fillId="0" borderId="0" xfId="0" applyFont="1"/>
    <xf numFmtId="0" fontId="34" fillId="7" borderId="0" xfId="0" applyFont="1" applyFill="1"/>
    <xf numFmtId="0" fontId="34" fillId="7" borderId="21" xfId="0" applyFont="1" applyFill="1" applyBorder="1"/>
    <xf numFmtId="9" fontId="34" fillId="7" borderId="20" xfId="19" applyFont="1" applyFill="1" applyBorder="1"/>
    <xf numFmtId="9" fontId="34" fillId="0" borderId="0" xfId="19" applyFont="1"/>
    <xf numFmtId="9" fontId="34" fillId="7" borderId="0" xfId="19" applyFont="1" applyFill="1"/>
    <xf numFmtId="166" fontId="34" fillId="7" borderId="20" xfId="0" applyNumberFormat="1" applyFont="1" applyFill="1" applyBorder="1"/>
    <xf numFmtId="166" fontId="36" fillId="7" borderId="20" xfId="0" applyNumberFormat="1" applyFont="1" applyFill="1" applyBorder="1"/>
    <xf numFmtId="166" fontId="34" fillId="0" borderId="0" xfId="0" applyNumberFormat="1" applyFont="1"/>
    <xf numFmtId="166" fontId="36" fillId="0" borderId="0" xfId="0" applyNumberFormat="1" applyFont="1"/>
    <xf numFmtId="166" fontId="34" fillId="7" borderId="0" xfId="0" applyNumberFormat="1" applyFont="1" applyFill="1"/>
    <xf numFmtId="166" fontId="36" fillId="7" borderId="0" xfId="0" applyNumberFormat="1" applyFont="1" applyFill="1"/>
    <xf numFmtId="0" fontId="34" fillId="7" borderId="20" xfId="0" applyFont="1" applyFill="1" applyBorder="1" applyAlignment="1">
      <alignment horizontal="left" indent="2"/>
    </xf>
    <xf numFmtId="0" fontId="34" fillId="0" borderId="0" xfId="0" applyFont="1" applyAlignment="1">
      <alignment horizontal="left" indent="2"/>
    </xf>
    <xf numFmtId="0" fontId="34" fillId="7" borderId="0" xfId="0" applyFont="1" applyFill="1" applyAlignment="1">
      <alignment horizontal="left" indent="2"/>
    </xf>
    <xf numFmtId="0" fontId="34" fillId="0" borderId="22" xfId="0" applyFont="1" applyBorder="1"/>
    <xf numFmtId="0" fontId="34" fillId="0" borderId="22" xfId="0" applyFont="1" applyBorder="1" applyAlignment="1">
      <alignment horizontal="left" indent="2"/>
    </xf>
    <xf numFmtId="166" fontId="34" fillId="0" borderId="22" xfId="0" applyNumberFormat="1" applyFont="1" applyBorder="1"/>
    <xf numFmtId="166" fontId="36" fillId="0" borderId="22" xfId="0" applyNumberFormat="1" applyFont="1" applyBorder="1"/>
    <xf numFmtId="166" fontId="34" fillId="7" borderId="20" xfId="0" quotePrefix="1" applyNumberFormat="1" applyFont="1" applyFill="1" applyBorder="1"/>
    <xf numFmtId="14" fontId="34" fillId="7" borderId="20" xfId="0" applyNumberFormat="1" applyFont="1" applyFill="1" applyBorder="1"/>
    <xf numFmtId="14" fontId="34" fillId="0" borderId="0" xfId="0" applyNumberFormat="1" applyFont="1"/>
    <xf numFmtId="14" fontId="34" fillId="7" borderId="0" xfId="0" applyNumberFormat="1" applyFont="1" applyFill="1"/>
    <xf numFmtId="0" fontId="2" fillId="0" borderId="0" xfId="20"/>
    <xf numFmtId="0" fontId="2" fillId="0" borderId="0" xfId="20" quotePrefix="1" applyAlignment="1">
      <alignment horizontal="left" indent="1"/>
    </xf>
    <xf numFmtId="167" fontId="2" fillId="0" borderId="23" xfId="20" applyNumberFormat="1" applyBorder="1"/>
    <xf numFmtId="0" fontId="2" fillId="0" borderId="23" xfId="20" applyBorder="1"/>
    <xf numFmtId="0" fontId="2" fillId="0" borderId="24" xfId="20" applyBorder="1"/>
    <xf numFmtId="168" fontId="2" fillId="0" borderId="26" xfId="20" applyNumberFormat="1" applyBorder="1"/>
    <xf numFmtId="0" fontId="2" fillId="0" borderId="26" xfId="20" applyBorder="1"/>
    <xf numFmtId="169" fontId="2" fillId="0" borderId="0" xfId="20" applyNumberFormat="1"/>
    <xf numFmtId="9" fontId="38" fillId="0" borderId="27" xfId="20" applyNumberFormat="1" applyFont="1" applyBorder="1"/>
    <xf numFmtId="0" fontId="29" fillId="0" borderId="27" xfId="20" applyFont="1" applyBorder="1"/>
    <xf numFmtId="0" fontId="38" fillId="0" borderId="0" xfId="20" applyFont="1"/>
    <xf numFmtId="0" fontId="2" fillId="0" borderId="28" xfId="20" applyBorder="1"/>
    <xf numFmtId="10" fontId="45" fillId="0" borderId="29" xfId="21" applyNumberFormat="1" applyFont="1" applyBorder="1" applyAlignment="1">
      <alignment horizontal="center" vertical="center"/>
    </xf>
    <xf numFmtId="0" fontId="45" fillId="0" borderId="30" xfId="20" applyFont="1" applyBorder="1" applyAlignment="1">
      <alignment horizontal="center" vertical="center"/>
    </xf>
    <xf numFmtId="10" fontId="45" fillId="0" borderId="30" xfId="21" applyNumberFormat="1" applyFont="1" applyBorder="1" applyAlignment="1">
      <alignment horizontal="center" vertical="center"/>
    </xf>
    <xf numFmtId="10" fontId="0" fillId="0" borderId="32" xfId="21" applyNumberFormat="1" applyFont="1" applyBorder="1"/>
    <xf numFmtId="0" fontId="2" fillId="0" borderId="33" xfId="20" applyBorder="1"/>
    <xf numFmtId="0" fontId="2" fillId="0" borderId="34" xfId="20" applyBorder="1"/>
    <xf numFmtId="10" fontId="0" fillId="7" borderId="32" xfId="21" applyNumberFormat="1" applyFont="1" applyFill="1" applyBorder="1"/>
    <xf numFmtId="0" fontId="2" fillId="7" borderId="33" xfId="20" applyFill="1" applyBorder="1"/>
    <xf numFmtId="0" fontId="2" fillId="7" borderId="34" xfId="20" applyFill="1" applyBorder="1"/>
    <xf numFmtId="0" fontId="36" fillId="9" borderId="32" xfId="20" applyFont="1" applyFill="1" applyBorder="1"/>
    <xf numFmtId="0" fontId="36" fillId="9" borderId="33" xfId="20" applyFont="1" applyFill="1" applyBorder="1"/>
    <xf numFmtId="0" fontId="36" fillId="9" borderId="34" xfId="20" applyFont="1" applyFill="1" applyBorder="1"/>
    <xf numFmtId="0" fontId="46" fillId="0" borderId="0" xfId="20" applyFont="1" applyAlignment="1">
      <alignment horizontal="centerContinuous" vertical="center"/>
    </xf>
    <xf numFmtId="0" fontId="13" fillId="10" borderId="24" xfId="20" applyFont="1" applyFill="1" applyBorder="1" applyAlignment="1">
      <alignment horizontal="center" vertical="center"/>
    </xf>
    <xf numFmtId="0" fontId="13" fillId="6" borderId="24" xfId="20" applyFont="1" applyFill="1" applyBorder="1" applyAlignment="1">
      <alignment horizontal="center" vertical="center"/>
    </xf>
    <xf numFmtId="3" fontId="13" fillId="0" borderId="24" xfId="20" applyNumberFormat="1" applyFont="1" applyBorder="1"/>
    <xf numFmtId="0" fontId="13" fillId="0" borderId="24" xfId="20" applyFont="1" applyBorder="1"/>
    <xf numFmtId="3" fontId="2" fillId="0" borderId="24" xfId="20" applyNumberFormat="1" applyBorder="1"/>
    <xf numFmtId="0" fontId="13" fillId="6" borderId="24" xfId="20" applyFont="1" applyFill="1" applyBorder="1"/>
    <xf numFmtId="17" fontId="13" fillId="6" borderId="24" xfId="20" quotePrefix="1" applyNumberFormat="1" applyFont="1" applyFill="1" applyBorder="1"/>
    <xf numFmtId="0" fontId="13" fillId="0" borderId="0" xfId="20" applyFont="1"/>
    <xf numFmtId="0" fontId="47" fillId="0" borderId="0" xfId="20" applyFont="1"/>
    <xf numFmtId="170" fontId="48" fillId="8" borderId="36" xfId="22" applyFont="1" applyFill="1" applyBorder="1"/>
    <xf numFmtId="0" fontId="49" fillId="8" borderId="37" xfId="20" applyFont="1" applyFill="1" applyBorder="1"/>
    <xf numFmtId="170" fontId="48" fillId="0" borderId="36" xfId="22" applyFont="1" applyFill="1" applyBorder="1"/>
    <xf numFmtId="0" fontId="49" fillId="0" borderId="37" xfId="20" applyFont="1" applyBorder="1"/>
    <xf numFmtId="0" fontId="50" fillId="0" borderId="35" xfId="20" applyFont="1" applyBorder="1" applyAlignment="1">
      <alignment horizontal="center" vertical="center"/>
    </xf>
    <xf numFmtId="0" fontId="50" fillId="0" borderId="36" xfId="20" applyFont="1" applyBorder="1" applyAlignment="1">
      <alignment horizontal="center" vertical="center"/>
    </xf>
    <xf numFmtId="0" fontId="50" fillId="0" borderId="37" xfId="20" applyFont="1" applyBorder="1" applyAlignment="1">
      <alignment horizontal="center" vertical="center"/>
    </xf>
    <xf numFmtId="9" fontId="2" fillId="8" borderId="0" xfId="20" applyNumberFormat="1" applyFill="1" applyAlignment="1">
      <alignment horizontal="center" vertical="center"/>
    </xf>
    <xf numFmtId="0" fontId="51" fillId="0" borderId="25" xfId="20" applyFont="1" applyBorder="1"/>
    <xf numFmtId="0" fontId="13" fillId="10" borderId="23" xfId="20" applyFont="1" applyFill="1" applyBorder="1"/>
    <xf numFmtId="0" fontId="12" fillId="0" borderId="0" xfId="20" quotePrefix="1" applyFont="1" applyAlignment="1">
      <alignment horizontal="left" indent="1"/>
    </xf>
    <xf numFmtId="0" fontId="52" fillId="10" borderId="26" xfId="20" applyFont="1" applyFill="1" applyBorder="1" applyAlignment="1">
      <alignment horizontal="center" vertical="center"/>
    </xf>
    <xf numFmtId="0" fontId="53" fillId="10" borderId="26" xfId="20" applyFont="1" applyFill="1" applyBorder="1" applyAlignment="1">
      <alignment horizontal="center" vertical="center"/>
    </xf>
    <xf numFmtId="0" fontId="2" fillId="0" borderId="41" xfId="20" applyBorder="1"/>
    <xf numFmtId="0" fontId="2" fillId="0" borderId="42" xfId="20" applyBorder="1"/>
    <xf numFmtId="0" fontId="2" fillId="0" borderId="43" xfId="20" applyBorder="1"/>
    <xf numFmtId="0" fontId="2" fillId="0" borderId="44" xfId="20" applyBorder="1"/>
    <xf numFmtId="0" fontId="39" fillId="0" borderId="43" xfId="20" applyFont="1" applyBorder="1"/>
    <xf numFmtId="0" fontId="44" fillId="8" borderId="45" xfId="20" applyFont="1" applyFill="1" applyBorder="1" applyAlignment="1">
      <alignment horizontal="left"/>
    </xf>
    <xf numFmtId="9" fontId="43" fillId="0" borderId="45" xfId="20" applyNumberFormat="1" applyFont="1" applyBorder="1"/>
    <xf numFmtId="0" fontId="42" fillId="8" borderId="46" xfId="20" applyFont="1" applyFill="1" applyBorder="1" applyAlignment="1">
      <alignment horizontal="center"/>
    </xf>
    <xf numFmtId="0" fontId="42" fillId="8" borderId="47" xfId="20" applyFont="1" applyFill="1" applyBorder="1" applyAlignment="1">
      <alignment horizontal="center"/>
    </xf>
    <xf numFmtId="0" fontId="42" fillId="8" borderId="48" xfId="20" applyFont="1" applyFill="1" applyBorder="1" applyAlignment="1">
      <alignment horizontal="center"/>
    </xf>
    <xf numFmtId="0" fontId="2" fillId="0" borderId="49" xfId="20" applyBorder="1"/>
    <xf numFmtId="0" fontId="41" fillId="0" borderId="50" xfId="20" applyFont="1" applyBorder="1"/>
    <xf numFmtId="4" fontId="41" fillId="0" borderId="50" xfId="20" applyNumberFormat="1" applyFont="1" applyBorder="1"/>
    <xf numFmtId="4" fontId="39" fillId="0" borderId="50" xfId="20" applyNumberFormat="1" applyFont="1" applyBorder="1"/>
    <xf numFmtId="4" fontId="39" fillId="0" borderId="51" xfId="20" applyNumberFormat="1" applyFont="1" applyBorder="1"/>
    <xf numFmtId="0" fontId="2" fillId="0" borderId="52" xfId="20" applyBorder="1"/>
    <xf numFmtId="0" fontId="41" fillId="0" borderId="53" xfId="20" applyFont="1" applyBorder="1"/>
    <xf numFmtId="4" fontId="41" fillId="0" borderId="53" xfId="20" applyNumberFormat="1" applyFont="1" applyBorder="1"/>
    <xf numFmtId="4" fontId="39" fillId="0" borderId="53" xfId="20" applyNumberFormat="1" applyFont="1" applyBorder="1"/>
    <xf numFmtId="4" fontId="39" fillId="0" borderId="54" xfId="20" applyNumberFormat="1" applyFont="1" applyBorder="1"/>
    <xf numFmtId="0" fontId="2" fillId="0" borderId="55" xfId="20" applyBorder="1"/>
    <xf numFmtId="0" fontId="2" fillId="0" borderId="56" xfId="20" applyBorder="1"/>
    <xf numFmtId="4" fontId="2" fillId="0" borderId="56" xfId="20" applyNumberFormat="1" applyBorder="1"/>
    <xf numFmtId="4" fontId="36" fillId="0" borderId="53" xfId="20" applyNumberFormat="1" applyFont="1" applyBorder="1"/>
    <xf numFmtId="4" fontId="36" fillId="0" borderId="54" xfId="20" applyNumberFormat="1" applyFont="1" applyBorder="1"/>
    <xf numFmtId="4" fontId="13" fillId="8" borderId="50" xfId="20" applyNumberFormat="1" applyFont="1" applyFill="1" applyBorder="1"/>
    <xf numFmtId="4" fontId="13" fillId="8" borderId="51" xfId="20" applyNumberFormat="1" applyFont="1" applyFill="1" applyBorder="1"/>
    <xf numFmtId="0" fontId="39" fillId="8" borderId="50" xfId="20" applyFont="1" applyFill="1" applyBorder="1" applyAlignment="1">
      <alignment horizontal="center"/>
    </xf>
    <xf numFmtId="4" fontId="40" fillId="8" borderId="51" xfId="20" applyNumberFormat="1" applyFont="1" applyFill="1" applyBorder="1"/>
    <xf numFmtId="0" fontId="39" fillId="0" borderId="0" xfId="20" applyFont="1" applyAlignment="1">
      <alignment horizontal="center"/>
    </xf>
    <xf numFmtId="0" fontId="39" fillId="10" borderId="57" xfId="20" applyFont="1" applyFill="1" applyBorder="1"/>
    <xf numFmtId="0" fontId="2" fillId="10" borderId="58" xfId="20" applyFill="1" applyBorder="1"/>
    <xf numFmtId="4" fontId="29" fillId="10" borderId="59" xfId="20" applyNumberFormat="1" applyFont="1" applyFill="1" applyBorder="1"/>
    <xf numFmtId="0" fontId="55" fillId="0" borderId="0" xfId="20" applyFont="1" applyAlignment="1">
      <alignment horizontal="centerContinuous" vertical="center"/>
    </xf>
    <xf numFmtId="0" fontId="45" fillId="0" borderId="31" xfId="20" applyFont="1" applyBorder="1" applyAlignment="1">
      <alignment vertical="center"/>
    </xf>
    <xf numFmtId="0" fontId="13" fillId="0" borderId="24" xfId="20" applyFont="1" applyBorder="1" applyAlignment="1">
      <alignment vertical="center"/>
    </xf>
    <xf numFmtId="3" fontId="13" fillId="0" borderId="24" xfId="20" applyNumberFormat="1" applyFont="1" applyBorder="1" applyAlignment="1">
      <alignment vertical="center"/>
    </xf>
    <xf numFmtId="3" fontId="2" fillId="0" borderId="24" xfId="20" applyNumberFormat="1" applyBorder="1" applyAlignment="1">
      <alignment vertical="center"/>
    </xf>
    <xf numFmtId="0" fontId="37" fillId="2" borderId="24" xfId="20" applyFont="1" applyFill="1" applyBorder="1" applyAlignment="1">
      <alignment horizontal="center" vertical="center"/>
    </xf>
    <xf numFmtId="9" fontId="37" fillId="2" borderId="24" xfId="21" applyFont="1" applyFill="1" applyBorder="1" applyAlignment="1">
      <alignment horizontal="center" vertical="center"/>
    </xf>
    <xf numFmtId="3" fontId="13" fillId="10" borderId="24" xfId="20" applyNumberFormat="1" applyFont="1" applyFill="1" applyBorder="1"/>
    <xf numFmtId="3" fontId="37" fillId="12" borderId="24" xfId="20" applyNumberFormat="1" applyFont="1" applyFill="1" applyBorder="1"/>
    <xf numFmtId="0" fontId="13" fillId="13" borderId="24" xfId="20" applyFont="1" applyFill="1" applyBorder="1"/>
    <xf numFmtId="10" fontId="13" fillId="13" borderId="24" xfId="21" quotePrefix="1" applyNumberFormat="1" applyFont="1" applyFill="1" applyBorder="1"/>
    <xf numFmtId="10" fontId="13" fillId="13" borderId="24" xfId="21" applyNumberFormat="1" applyFont="1" applyFill="1" applyBorder="1"/>
    <xf numFmtId="9" fontId="4" fillId="4" borderId="4" xfId="19" applyFont="1" applyFill="1" applyBorder="1"/>
    <xf numFmtId="4" fontId="0" fillId="0" borderId="60" xfId="0" applyNumberFormat="1" applyBorder="1"/>
    <xf numFmtId="12" fontId="28" fillId="0" borderId="15" xfId="0" applyNumberFormat="1" applyFont="1" applyBorder="1"/>
    <xf numFmtId="14" fontId="0" fillId="0" borderId="0" xfId="0" applyNumberFormat="1"/>
    <xf numFmtId="171" fontId="0" fillId="0" borderId="0" xfId="23" applyNumberFormat="1" applyFont="1"/>
    <xf numFmtId="3" fontId="2" fillId="0" borderId="0" xfId="20" applyNumberFormat="1"/>
    <xf numFmtId="9" fontId="56" fillId="14" borderId="24" xfId="21" applyFont="1" applyFill="1" applyBorder="1" applyAlignment="1">
      <alignment horizontal="center" vertical="center"/>
    </xf>
    <xf numFmtId="9" fontId="2" fillId="7" borderId="33" xfId="19" applyFont="1" applyFill="1" applyBorder="1"/>
    <xf numFmtId="9" fontId="2" fillId="0" borderId="33" xfId="19" applyFont="1" applyBorder="1"/>
    <xf numFmtId="0" fontId="28" fillId="0" borderId="17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54" fillId="2" borderId="38" xfId="20" applyFont="1" applyFill="1" applyBorder="1" applyAlignment="1">
      <alignment horizontal="center"/>
    </xf>
    <xf numFmtId="0" fontId="54" fillId="2" borderId="39" xfId="20" applyFont="1" applyFill="1" applyBorder="1" applyAlignment="1">
      <alignment horizontal="center"/>
    </xf>
    <xf numFmtId="0" fontId="54" fillId="2" borderId="40" xfId="20" applyFont="1" applyFill="1" applyBorder="1" applyAlignment="1">
      <alignment horizontal="center"/>
    </xf>
    <xf numFmtId="0" fontId="13" fillId="0" borderId="0" xfId="20" applyFont="1" applyAlignment="1">
      <alignment horizontal="center"/>
    </xf>
    <xf numFmtId="0" fontId="39" fillId="11" borderId="0" xfId="20" applyFont="1" applyFill="1" applyAlignment="1">
      <alignment horizontal="center"/>
    </xf>
    <xf numFmtId="0" fontId="0" fillId="0" borderId="26" xfId="0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21" fillId="0" borderId="0" xfId="0" applyFont="1"/>
    <xf numFmtId="0" fontId="58" fillId="15" borderId="0" xfId="0" applyFont="1" applyFill="1" applyAlignment="1">
      <alignment horizontal="centerContinuous" vertical="center"/>
    </xf>
    <xf numFmtId="0" fontId="1" fillId="4" borderId="9" xfId="16" applyFont="1" applyBorder="1" applyAlignment="1">
      <alignment horizontal="left"/>
    </xf>
  </cellXfs>
  <cellStyles count="24">
    <cellStyle name="Encabezado 1 2" xfId="4" xr:uid="{00000000-0005-0000-0000-000000000000}"/>
    <cellStyle name="Encabezado 2 2" xfId="5" xr:uid="{00000000-0005-0000-0000-000001000000}"/>
    <cellStyle name="Encabezado 3 2" xfId="7" xr:uid="{00000000-0005-0000-0000-000002000000}"/>
    <cellStyle name="GrayCell" xfId="8" xr:uid="{00000000-0005-0000-0000-000003000000}"/>
    <cellStyle name="GrayCell 2" xfId="12" xr:uid="{00000000-0005-0000-0000-000004000000}"/>
    <cellStyle name="GrayCell 2 2" xfId="16" xr:uid="{00000000-0005-0000-0000-000005000000}"/>
    <cellStyle name="Millares" xfId="23" builtinId="3"/>
    <cellStyle name="Millares 2" xfId="22" xr:uid="{00000000-0005-0000-0000-000006000000}"/>
    <cellStyle name="Normal" xfId="0" builtinId="0"/>
    <cellStyle name="Normal 2" xfId="2" xr:uid="{00000000-0005-0000-0000-000008000000}"/>
    <cellStyle name="Normal 2 2" xfId="15" xr:uid="{00000000-0005-0000-0000-000009000000}"/>
    <cellStyle name="Normal 3" xfId="11" xr:uid="{00000000-0005-0000-0000-00000A000000}"/>
    <cellStyle name="Normal 4" xfId="20" xr:uid="{00000000-0005-0000-0000-00000B000000}"/>
    <cellStyle name="OrangeBorder" xfId="10" xr:uid="{00000000-0005-0000-0000-00000C000000}"/>
    <cellStyle name="OrangeBorder 2" xfId="14" xr:uid="{00000000-0005-0000-0000-00000D000000}"/>
    <cellStyle name="OrangeBorder 3" xfId="18" xr:uid="{00000000-0005-0000-0000-00000E000000}"/>
    <cellStyle name="Porcentaje" xfId="19" builtinId="5"/>
    <cellStyle name="Porcentaje 2" xfId="21" xr:uid="{00000000-0005-0000-0000-000010000000}"/>
    <cellStyle name="Texto de inicio" xfId="1" xr:uid="{00000000-0005-0000-0000-000011000000}"/>
    <cellStyle name="Texto de la columna A" xfId="6" xr:uid="{00000000-0005-0000-0000-000012000000}"/>
    <cellStyle name="Título 2" xfId="3" xr:uid="{00000000-0005-0000-0000-000013000000}"/>
    <cellStyle name="YellowCell" xfId="9" xr:uid="{00000000-0005-0000-0000-000014000000}"/>
    <cellStyle name="YellowCell 2" xfId="13" xr:uid="{00000000-0005-0000-0000-000015000000}"/>
    <cellStyle name="YellowCell 2 2" xfId="17" xr:uid="{00000000-0005-0000-0000-000016000000}"/>
  </cellStyles>
  <dxfs count="14">
    <dxf>
      <font>
        <color rgb="FF217346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ill>
        <patternFill>
          <bgColor rgb="FF227447"/>
        </patternFill>
      </fill>
      <border>
        <top style="double">
          <color theme="1"/>
        </top>
      </border>
    </dxf>
    <dxf>
      <font>
        <b/>
        <color theme="0"/>
      </font>
      <fill>
        <patternFill patternType="solid">
          <fgColor theme="9"/>
          <bgColor rgb="FF227447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Interfaz de usuario de Excel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mruColors>
      <color rgb="FF217346"/>
      <color rgb="FFAFFFAF"/>
      <color rgb="FF000099"/>
      <color rgb="FFF4B183"/>
      <color rgb="FFF5F5F5"/>
      <color rgb="FFE2F0D9"/>
      <color rgb="FF3B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iagrams/_rels/data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iagrams/_rels/data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iagrams/_rels/data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ata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iagrams/_rels/data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iagram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iagram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iagram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iagram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#1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4#2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colorful4#3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colorful4#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colorful4#5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colorful4#6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colorful4#7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8.xml><?xml version="1.0" encoding="utf-8"?>
<dgm:colorsDef xmlns:dgm="http://schemas.openxmlformats.org/drawingml/2006/diagram" xmlns:a="http://schemas.openxmlformats.org/drawingml/2006/main" uniqueId="urn:microsoft.com/office/officeart/2005/8/colors/colorful4#8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9.xml><?xml version="1.0" encoding="utf-8"?>
<dgm:colorsDef xmlns:dgm="http://schemas.openxmlformats.org/drawingml/2006/diagram" xmlns:a="http://schemas.openxmlformats.org/drawingml/2006/main" uniqueId="urn:microsoft.com/office/officeart/2005/8/colors/colorful4#9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0.xml><?xml version="1.0" encoding="utf-8"?>
<dgm:colorsDef xmlns:dgm="http://schemas.openxmlformats.org/drawingml/2006/diagram" xmlns:a="http://schemas.openxmlformats.org/drawingml/2006/main" uniqueId="urn:microsoft.com/office/officeart/2005/8/colors/colorful4#10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1.xml><?xml version="1.0" encoding="utf-8"?>
<dgm:colorsDef xmlns:dgm="http://schemas.openxmlformats.org/drawingml/2006/diagram" xmlns:a="http://schemas.openxmlformats.org/drawingml/2006/main" uniqueId="urn:microsoft.com/office/officeart/2005/8/colors/colorful4#11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2.xml><?xml version="1.0" encoding="utf-8"?>
<dgm:colorsDef xmlns:dgm="http://schemas.openxmlformats.org/drawingml/2006/diagram" xmlns:a="http://schemas.openxmlformats.org/drawingml/2006/main" uniqueId="urn:microsoft.com/office/officeart/2005/8/colors/colorful4#12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1" qsCatId="simple" csTypeId="urn:microsoft.com/office/officeart/2005/8/colors/colorful4#1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Calcular el importe para cada producto, teniendo como datos el precio unitario y la cantidad.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2" qsCatId="simple" csTypeId="urn:microsoft.com/office/officeart/2005/8/colors/colorful4#2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Calcular el Saldo para cada producto, teniendo como datos las ventas y costo de compra.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3" qsCatId="simple" csTypeId="urn:microsoft.com/office/officeart/2005/8/colors/colorful4#3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Se tiene los depositos financieros de diferentes identidaes bancarias. Calcular la variación para cada identidad teniendo como datos los importe al cierre del año 2016 y 2017.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4" qsCatId="simple" csTypeId="urn:microsoft.com/office/officeart/2005/8/colors/colorful4#4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Calcular el importe para los autos y camiones segun su descripción para los Bimestres 1 , Bimestre 2 y total importe de los 4 meses 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5" qsCatId="simple" csTypeId="urn:microsoft.com/office/officeart/2005/8/colors/colorful4#5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Los clientes solicitarón un prestamo al Banco JPCBank.</a:t>
          </a:r>
        </a:p>
        <a:p>
          <a:r>
            <a:rPr lang="es-ES"/>
            <a:t>Se pide calcular el monto total y la fecha que se debe realizar el pago.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6" qsCatId="simple" csTypeId="urn:microsoft.com/office/officeart/2005/8/colors/colorful4#6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Calcular el costo de cada producto en moneda extranjera. Use celda Absoluta</a:t>
          </a:r>
        </a:p>
        <a:p>
          <a:endParaRPr lang="es-ES"/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7" qsCatId="simple" csTypeId="urn:microsoft.com/office/officeart/2005/8/colors/colorful4#7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pPr algn="just"/>
          <a:r>
            <a:rPr lang="es-PE"/>
            <a:t>Calcule el Total a pagar el cual incluye el descuento del 20%. Realice todo el calculo en una misma fórmula, además use referencias de celdas para el descuento.</a:t>
          </a:r>
          <a:endParaRPr lang="es-ES"/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8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8" qsCatId="simple" csTypeId="urn:microsoft.com/office/officeart/2005/8/colors/colorful4#8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Los clientes solicitarón un prestamo al Banco JPCBank.</a:t>
          </a:r>
        </a:p>
        <a:p>
          <a:r>
            <a:rPr lang="es-ES"/>
            <a:t>Se pide calcular el monto total y la fecha que se debe realizar el pago.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9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9" qsCatId="simple" csTypeId="urn:microsoft.com/office/officeart/2005/8/colors/colorful4#9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endParaRPr lang="es-ES"/>
        </a:p>
        <a:p>
          <a:r>
            <a:rPr lang="es-ES"/>
            <a:t>Calcular el porcentaje de ventas de cada mes y producto con respecto a las ventas semestrales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10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10" qsCatId="simple" csTypeId="urn:microsoft.com/office/officeart/2005/8/colors/colorful4#10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Calcule la cantidad de articulos que se almaceneran para los siguientes Almacenes, acuerdo al porcentaje ilustrado en la fila 9 siempre respecto a la producción.</a:t>
          </a:r>
        </a:p>
        <a:p>
          <a:r>
            <a:rPr lang="es-ES"/>
            <a:t>Todo el cálculo con una sola fórmula para la tabla.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11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11" qsCatId="simple" csTypeId="urn:microsoft.com/office/officeart/2005/8/colors/colorful4#11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ES"/>
            <a:t>Calcular la proyeccion de las ventas.</a:t>
          </a:r>
          <a:br>
            <a:rPr lang="es-ES"/>
          </a:br>
          <a:r>
            <a:rPr lang="es-ES"/>
            <a:t>Se debe considerar la valor del año anterior. Para calcular el crecimiento con respecto al mes anterior.</a:t>
          </a:r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12.xml><?xml version="1.0" encoding="utf-8"?>
<dgm:dataModel xmlns:dgm="http://schemas.openxmlformats.org/drawingml/2006/diagram" xmlns:a="http://schemas.openxmlformats.org/drawingml/2006/main">
  <dgm:ptLst>
    <dgm:pt modelId="{FB9BABE3-BFCB-4BC0-B853-26C59881D721}" type="doc">
      <dgm:prSet loTypeId="urn:microsoft.com/office/officeart/2005/8/layout/vList4" loCatId="list" qsTypeId="urn:microsoft.com/office/officeart/2005/8/quickstyle/simple1#12" qsCatId="simple" csTypeId="urn:microsoft.com/office/officeart/2005/8/colors/colorful4#12" csCatId="colorful" phldr="1"/>
      <dgm:spPr/>
      <dgm:t>
        <a:bodyPr/>
        <a:lstStyle/>
        <a:p>
          <a:endParaRPr lang="es-ES"/>
        </a:p>
      </dgm:t>
    </dgm:pt>
    <dgm:pt modelId="{62B92914-4A52-4C98-AEB2-58B0CFFE6E5F}">
      <dgm:prSet phldrT="[Texto]"/>
      <dgm:spPr>
        <a:solidFill>
          <a:srgbClr val="217346"/>
        </a:solidFill>
      </dgm:spPr>
      <dgm:t>
        <a:bodyPr/>
        <a:lstStyle/>
        <a:p>
          <a:r>
            <a:rPr lang="es-PE"/>
            <a:t>Calcular el monto del descuento mensual que es igual al Sueldo*Porcentaje de descuento del mes</a:t>
          </a:r>
          <a:endParaRPr lang="es-ES"/>
        </a:p>
      </dgm:t>
    </dgm:pt>
    <dgm:pt modelId="{D1E66E94-C86F-4E7D-B4DA-28C54900425D}" type="parTrans" cxnId="{D5E62CED-A8FA-4F4F-8077-2A4726F18447}">
      <dgm:prSet/>
      <dgm:spPr/>
      <dgm:t>
        <a:bodyPr/>
        <a:lstStyle/>
        <a:p>
          <a:endParaRPr lang="es-ES"/>
        </a:p>
      </dgm:t>
    </dgm:pt>
    <dgm:pt modelId="{6D490F0D-E335-448F-98D8-4271C5B06000}" type="sibTrans" cxnId="{D5E62CED-A8FA-4F4F-8077-2A4726F18447}">
      <dgm:prSet/>
      <dgm:spPr/>
      <dgm:t>
        <a:bodyPr/>
        <a:lstStyle/>
        <a:p>
          <a:endParaRPr lang="es-ES"/>
        </a:p>
      </dgm:t>
    </dgm:pt>
    <dgm:pt modelId="{CE6D10DF-20D3-46C9-A897-4B6CC782B0B1}" type="pres">
      <dgm:prSet presAssocID="{FB9BABE3-BFCB-4BC0-B853-26C59881D721}" presName="linear" presStyleCnt="0">
        <dgm:presLayoutVars>
          <dgm:dir/>
          <dgm:resizeHandles val="exact"/>
        </dgm:presLayoutVars>
      </dgm:prSet>
      <dgm:spPr/>
    </dgm:pt>
    <dgm:pt modelId="{DE7E1453-CAE0-4ABF-BEA2-20D6E103448A}" type="pres">
      <dgm:prSet presAssocID="{62B92914-4A52-4C98-AEB2-58B0CFFE6E5F}" presName="comp" presStyleCnt="0"/>
      <dgm:spPr/>
    </dgm:pt>
    <dgm:pt modelId="{A54CCA6F-E105-4AA3-8EA0-8D2D3C986623}" type="pres">
      <dgm:prSet presAssocID="{62B92914-4A52-4C98-AEB2-58B0CFFE6E5F}" presName="box" presStyleLbl="node1" presStyleIdx="0" presStyleCnt="1" custLinFactNeighborX="333" custLinFactNeighborY="12648"/>
      <dgm:spPr/>
    </dgm:pt>
    <dgm:pt modelId="{C45FA8CC-9B99-4B88-BB8F-1BE411D32BC4}" type="pres">
      <dgm:prSet presAssocID="{62B92914-4A52-4C98-AEB2-58B0CFFE6E5F}" presName="img" presStyleLbl="fgImgPlace1" presStyleIdx="0" presStyleCnt="1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</dgm:spPr>
    </dgm:pt>
    <dgm:pt modelId="{D6807CD8-0BC9-42CE-A165-60D63EC94B12}" type="pres">
      <dgm:prSet presAssocID="{62B92914-4A52-4C98-AEB2-58B0CFFE6E5F}" presName="text" presStyleLbl="node1" presStyleIdx="0" presStyleCnt="1">
        <dgm:presLayoutVars>
          <dgm:bulletEnabled val="1"/>
        </dgm:presLayoutVars>
      </dgm:prSet>
      <dgm:spPr/>
    </dgm:pt>
  </dgm:ptLst>
  <dgm:cxnLst>
    <dgm:cxn modelId="{6D4C8F00-B32D-4685-8711-DF4D36F4908B}" type="presOf" srcId="{FB9BABE3-BFCB-4BC0-B853-26C59881D721}" destId="{CE6D10DF-20D3-46C9-A897-4B6CC782B0B1}" srcOrd="0" destOrd="0" presId="urn:microsoft.com/office/officeart/2005/8/layout/vList4"/>
    <dgm:cxn modelId="{1180302B-1DE6-41B4-88F3-7FBE9725A4AB}" type="presOf" srcId="{62B92914-4A52-4C98-AEB2-58B0CFFE6E5F}" destId="{A54CCA6F-E105-4AA3-8EA0-8D2D3C986623}" srcOrd="0" destOrd="0" presId="urn:microsoft.com/office/officeart/2005/8/layout/vList4"/>
    <dgm:cxn modelId="{83B7CACD-B6FE-4A7A-AAF1-10F7FA9215E3}" type="presOf" srcId="{62B92914-4A52-4C98-AEB2-58B0CFFE6E5F}" destId="{D6807CD8-0BC9-42CE-A165-60D63EC94B12}" srcOrd="1" destOrd="0" presId="urn:microsoft.com/office/officeart/2005/8/layout/vList4"/>
    <dgm:cxn modelId="{D5E62CED-A8FA-4F4F-8077-2A4726F18447}" srcId="{FB9BABE3-BFCB-4BC0-B853-26C59881D721}" destId="{62B92914-4A52-4C98-AEB2-58B0CFFE6E5F}" srcOrd="0" destOrd="0" parTransId="{D1E66E94-C86F-4E7D-B4DA-28C54900425D}" sibTransId="{6D490F0D-E335-448F-98D8-4271C5B06000}"/>
    <dgm:cxn modelId="{C194096D-5D50-4ABC-8E29-355DD5D6B42A}" type="presParOf" srcId="{CE6D10DF-20D3-46C9-A897-4B6CC782B0B1}" destId="{DE7E1453-CAE0-4ABF-BEA2-20D6E103448A}" srcOrd="0" destOrd="0" presId="urn:microsoft.com/office/officeart/2005/8/layout/vList4"/>
    <dgm:cxn modelId="{583706F3-4124-423D-928F-16F8D82213A3}" type="presParOf" srcId="{DE7E1453-CAE0-4ABF-BEA2-20D6E103448A}" destId="{A54CCA6F-E105-4AA3-8EA0-8D2D3C986623}" srcOrd="0" destOrd="0" presId="urn:microsoft.com/office/officeart/2005/8/layout/vList4"/>
    <dgm:cxn modelId="{BF8C23CD-3C29-4678-BE6A-54044F1DE36C}" type="presParOf" srcId="{DE7E1453-CAE0-4ABF-BEA2-20D6E103448A}" destId="{C45FA8CC-9B99-4B88-BB8F-1BE411D32BC4}" srcOrd="1" destOrd="0" presId="urn:microsoft.com/office/officeart/2005/8/layout/vList4"/>
    <dgm:cxn modelId="{D2AAE4E7-8737-47D7-905E-631A4D9DED5B}" type="presParOf" srcId="{DE7E1453-CAE0-4ABF-BEA2-20D6E103448A}" destId="{D6807CD8-0BC9-42CE-A165-60D63EC94B12}" srcOrd="2" destOrd="0" presId="urn:microsoft.com/office/officeart/2005/8/layout/vList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56900" cy="958337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/>
            <a:t>Calcular el importe para cada producto, teniendo como datos el precio unitario y la cantidad.</a:t>
          </a:r>
        </a:p>
      </dsp:txBody>
      <dsp:txXfrm>
        <a:off x="1007213" y="0"/>
        <a:ext cx="3549686" cy="958337"/>
      </dsp:txXfrm>
    </dsp:sp>
    <dsp:sp modelId="{C45FA8CC-9B99-4B88-BB8F-1BE411D32BC4}">
      <dsp:nvSpPr>
        <dsp:cNvPr id="0" name=""/>
        <dsp:cNvSpPr/>
      </dsp:nvSpPr>
      <dsp:spPr>
        <a:xfrm>
          <a:off x="95833" y="95833"/>
          <a:ext cx="911380" cy="766669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78046" cy="962670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/>
            <a:t>Calcular el Saldo para cada producto, teniendo como datos las ventas y costo de compra.</a:t>
          </a:r>
        </a:p>
      </dsp:txBody>
      <dsp:txXfrm>
        <a:off x="1011876" y="0"/>
        <a:ext cx="3566169" cy="962670"/>
      </dsp:txXfrm>
    </dsp:sp>
    <dsp:sp modelId="{C45FA8CC-9B99-4B88-BB8F-1BE411D32BC4}">
      <dsp:nvSpPr>
        <dsp:cNvPr id="0" name=""/>
        <dsp:cNvSpPr/>
      </dsp:nvSpPr>
      <dsp:spPr>
        <a:xfrm>
          <a:off x="96267" y="96267"/>
          <a:ext cx="915609" cy="770136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85840" cy="982591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Se tiene los depositos financieros de diferentes identidaes bancarias. Calcular la variación para cada identidad teniendo como datos los importe al cierre del año 2016 y 2017.</a:t>
          </a:r>
        </a:p>
      </dsp:txBody>
      <dsp:txXfrm>
        <a:off x="1015427" y="0"/>
        <a:ext cx="3570412" cy="982591"/>
      </dsp:txXfrm>
    </dsp:sp>
    <dsp:sp modelId="{C45FA8CC-9B99-4B88-BB8F-1BE411D32BC4}">
      <dsp:nvSpPr>
        <dsp:cNvPr id="0" name=""/>
        <dsp:cNvSpPr/>
      </dsp:nvSpPr>
      <dsp:spPr>
        <a:xfrm>
          <a:off x="98259" y="98259"/>
          <a:ext cx="917168" cy="786072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58808" cy="950820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Calcular el importe para los autos y camiones segun su descripción para los Bimestres 1 , Bimestre 2 y total importe de los 4 meses .</a:t>
          </a:r>
        </a:p>
      </dsp:txBody>
      <dsp:txXfrm>
        <a:off x="1006843" y="0"/>
        <a:ext cx="3551964" cy="950820"/>
      </dsp:txXfrm>
    </dsp:sp>
    <dsp:sp modelId="{C45FA8CC-9B99-4B88-BB8F-1BE411D32BC4}">
      <dsp:nvSpPr>
        <dsp:cNvPr id="0" name=""/>
        <dsp:cNvSpPr/>
      </dsp:nvSpPr>
      <dsp:spPr>
        <a:xfrm>
          <a:off x="95082" y="95082"/>
          <a:ext cx="911761" cy="760656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56760" cy="969185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Los clientes solicitarón un prestamo al Banco JPCBank.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Se pide calcular el monto total y la fecha que se debe realizar el pago.</a:t>
          </a:r>
        </a:p>
      </dsp:txBody>
      <dsp:txXfrm>
        <a:off x="1008270" y="0"/>
        <a:ext cx="3548489" cy="969185"/>
      </dsp:txXfrm>
    </dsp:sp>
    <dsp:sp modelId="{C45FA8CC-9B99-4B88-BB8F-1BE411D32BC4}">
      <dsp:nvSpPr>
        <dsp:cNvPr id="0" name=""/>
        <dsp:cNvSpPr/>
      </dsp:nvSpPr>
      <dsp:spPr>
        <a:xfrm>
          <a:off x="96918" y="96918"/>
          <a:ext cx="911352" cy="775348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30398" cy="973166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/>
            <a:t>Calcular el costo de cada producto en moneda extranjera. Use celda Absoluta</a:t>
          </a:r>
        </a:p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600" kern="1200"/>
        </a:p>
      </dsp:txBody>
      <dsp:txXfrm>
        <a:off x="1003396" y="0"/>
        <a:ext cx="3527001" cy="973166"/>
      </dsp:txXfrm>
    </dsp:sp>
    <dsp:sp modelId="{C45FA8CC-9B99-4B88-BB8F-1BE411D32BC4}">
      <dsp:nvSpPr>
        <dsp:cNvPr id="0" name=""/>
        <dsp:cNvSpPr/>
      </dsp:nvSpPr>
      <dsp:spPr>
        <a:xfrm>
          <a:off x="97316" y="97316"/>
          <a:ext cx="906079" cy="778532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57976" cy="981764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just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500" kern="1200"/>
            <a:t>Calcule el Total a pagar el cual incluye el descuento del 20%. Realice todo el calculo en una misma fórmula, además use referencias de celdas para el descuento.</a:t>
          </a:r>
          <a:endParaRPr lang="es-ES" sz="1500" kern="1200"/>
        </a:p>
      </dsp:txBody>
      <dsp:txXfrm>
        <a:off x="1009771" y="0"/>
        <a:ext cx="3548204" cy="981764"/>
      </dsp:txXfrm>
    </dsp:sp>
    <dsp:sp modelId="{C45FA8CC-9B99-4B88-BB8F-1BE411D32BC4}">
      <dsp:nvSpPr>
        <dsp:cNvPr id="0" name=""/>
        <dsp:cNvSpPr/>
      </dsp:nvSpPr>
      <dsp:spPr>
        <a:xfrm>
          <a:off x="98176" y="98176"/>
          <a:ext cx="911595" cy="785411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8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52950" cy="963930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Los clientes solicitarón un prestamo al Banco JPCBank.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Se pide calcular el monto total y la fecha que se debe realizar el pago.</a:t>
          </a:r>
        </a:p>
      </dsp:txBody>
      <dsp:txXfrm>
        <a:off x="1006983" y="0"/>
        <a:ext cx="3545967" cy="963930"/>
      </dsp:txXfrm>
    </dsp:sp>
    <dsp:sp modelId="{C45FA8CC-9B99-4B88-BB8F-1BE411D32BC4}">
      <dsp:nvSpPr>
        <dsp:cNvPr id="0" name=""/>
        <dsp:cNvSpPr/>
      </dsp:nvSpPr>
      <dsp:spPr>
        <a:xfrm>
          <a:off x="96392" y="96393"/>
          <a:ext cx="910590" cy="771144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9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55979" cy="955186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1400" kern="1200"/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/>
            <a:t>Calcular el porcentaje de ventas de cada mes y producto con respecto a las ventas semestrales</a:t>
          </a:r>
        </a:p>
      </dsp:txBody>
      <dsp:txXfrm>
        <a:off x="1006714" y="0"/>
        <a:ext cx="3549264" cy="955186"/>
      </dsp:txXfrm>
    </dsp:sp>
    <dsp:sp modelId="{C45FA8CC-9B99-4B88-BB8F-1BE411D32BC4}">
      <dsp:nvSpPr>
        <dsp:cNvPr id="0" name=""/>
        <dsp:cNvSpPr/>
      </dsp:nvSpPr>
      <dsp:spPr>
        <a:xfrm>
          <a:off x="95518" y="95518"/>
          <a:ext cx="911195" cy="764148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10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5240796" cy="962670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l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300" kern="1200"/>
            <a:t>Calcule la cantidad de articulos que se almaceneran para los siguientes Almacenes, acuerdo al porcentaje ilustrado en la fila 9 siempre respecto a la producción.</a:t>
          </a:r>
        </a:p>
        <a:p>
          <a:pPr marL="0" lvl="0" indent="0" algn="l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300" kern="1200"/>
            <a:t>Todo el cálculo con una sola fórmula para la tabla.</a:t>
          </a:r>
        </a:p>
      </dsp:txBody>
      <dsp:txXfrm>
        <a:off x="1144426" y="0"/>
        <a:ext cx="4096370" cy="962670"/>
      </dsp:txXfrm>
    </dsp:sp>
    <dsp:sp modelId="{C45FA8CC-9B99-4B88-BB8F-1BE411D32BC4}">
      <dsp:nvSpPr>
        <dsp:cNvPr id="0" name=""/>
        <dsp:cNvSpPr/>
      </dsp:nvSpPr>
      <dsp:spPr>
        <a:xfrm>
          <a:off x="96266" y="96267"/>
          <a:ext cx="1048159" cy="770136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1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30090" cy="963930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500" kern="1200"/>
            <a:t>Calcular la proyeccion de las ventas.</a:t>
          </a:r>
          <a:br>
            <a:rPr lang="es-ES" sz="1500" kern="1200"/>
          </a:br>
          <a:r>
            <a:rPr lang="es-ES" sz="1500" kern="1200"/>
            <a:t>Se debe considerar la valor del año anterior. Para calcular el crecimiento con respecto al mes anterior.</a:t>
          </a:r>
        </a:p>
      </dsp:txBody>
      <dsp:txXfrm>
        <a:off x="1002411" y="0"/>
        <a:ext cx="3527678" cy="963930"/>
      </dsp:txXfrm>
    </dsp:sp>
    <dsp:sp modelId="{C45FA8CC-9B99-4B88-BB8F-1BE411D32BC4}">
      <dsp:nvSpPr>
        <dsp:cNvPr id="0" name=""/>
        <dsp:cNvSpPr/>
      </dsp:nvSpPr>
      <dsp:spPr>
        <a:xfrm>
          <a:off x="96392" y="96393"/>
          <a:ext cx="906018" cy="771144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1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54CCA6F-E105-4AA3-8EA0-8D2D3C986623}">
      <dsp:nvSpPr>
        <dsp:cNvPr id="0" name=""/>
        <dsp:cNvSpPr/>
      </dsp:nvSpPr>
      <dsp:spPr>
        <a:xfrm>
          <a:off x="0" y="0"/>
          <a:ext cx="4543076" cy="961784"/>
        </a:xfrm>
        <a:prstGeom prst="roundRect">
          <a:avLst>
            <a:gd name="adj" fmla="val 10000"/>
          </a:avLst>
        </a:prstGeom>
        <a:solidFill>
          <a:srgbClr val="2173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600" kern="1200"/>
            <a:t>Calcular el monto del descuento mensual que es igual al Sueldo*Porcentaje de descuento del mes</a:t>
          </a:r>
          <a:endParaRPr lang="es-ES" sz="1600" kern="1200"/>
        </a:p>
      </dsp:txBody>
      <dsp:txXfrm>
        <a:off x="1004793" y="0"/>
        <a:ext cx="3538282" cy="961784"/>
      </dsp:txXfrm>
    </dsp:sp>
    <dsp:sp modelId="{C45FA8CC-9B99-4B88-BB8F-1BE411D32BC4}">
      <dsp:nvSpPr>
        <dsp:cNvPr id="0" name=""/>
        <dsp:cNvSpPr/>
      </dsp:nvSpPr>
      <dsp:spPr>
        <a:xfrm>
          <a:off x="96178" y="96178"/>
          <a:ext cx="908615" cy="769427"/>
        </a:xfrm>
        <a:prstGeom prst="roundRect">
          <a:avLst>
            <a:gd name="adj" fmla="val 10000"/>
          </a:avLst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8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9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10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11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12.xml><?xml version="1.0" encoding="utf-8"?>
<dgm:layoutDef xmlns:dgm="http://schemas.openxmlformats.org/drawingml/2006/diagram" xmlns:a="http://schemas.openxmlformats.org/drawingml/2006/main" uniqueId="urn:microsoft.com/office/officeart/2005/8/layout/vList4">
  <dgm:title val=""/>
  <dgm:desc val=""/>
  <dgm:catLst>
    <dgm:cat type="list" pri="13000"/>
    <dgm:cat type="picture" pri="26000"/>
    <dgm:cat type="pictureconvert" pri="26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resizeHandles val="exact"/>
    </dgm:varLst>
    <dgm:alg type="lin">
      <dgm:param type="linDir" val="fromT"/>
      <dgm:param type="vertAlign" val="t"/>
    </dgm:alg>
    <dgm:shape xmlns:r="http://schemas.openxmlformats.org/officeDocument/2006/relationships" r:blip="">
      <dgm:adjLst/>
    </dgm:shape>
    <dgm:presOf/>
    <dgm:constrLst>
      <dgm:constr type="w" for="ch" forName="comp" refType="w"/>
      <dgm:constr type="h" for="ch" forName="comp" refType="h"/>
      <dgm:constr type="h" for="ch" forName="spacer" refType="h" refFor="ch" refForName="comp" op="equ" fact="0.1"/>
      <dgm:constr type="primFontSz" for="des" forName="text" op="equ" val="65"/>
    </dgm:constrLst>
    <dgm:ruleLst/>
    <dgm:forEach name="Name0" axis="ch" ptType="node">
      <dgm:layoutNode name="comp" styleLbl="node1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l" for="ch" forName="img" refType="h" refFor="ch" refForName="box" fact="0.1"/>
              <dgm:constr type="h" for="ch" forName="text" refType="h"/>
              <dgm:constr type="l" for="ch" forName="text" refType="r" refFor="ch" refForName="img"/>
              <dgm:constr type="r" for="ch" forName="text" refType="w"/>
            </dgm:constrLst>
          </dgm:if>
          <dgm:else name="Name3">
            <dgm:constrLst>
              <dgm:constr type="h" for="ch" forName="box" refType="h"/>
              <dgm:constr type="w" for="ch" forName="box" refType="w"/>
              <dgm:constr type="w" for="ch" forName="img" refType="w" refFor="ch" refForName="box" fact="0.2"/>
              <dgm:constr type="h" for="ch" forName="img" refType="h" refFor="ch" refForName="box" fact="0.8"/>
              <dgm:constr type="t" for="ch" forName="img" refType="h" refFor="ch" refForName="box" fact="0.1"/>
              <dgm:constr type="r" for="ch" forName="img" refType="w" refFor="ch" refForName="box"/>
              <dgm:constr type="rOff" for="ch" forName="img" refType="h" refFor="ch" refForName="box" fact="-0.1"/>
              <dgm:constr type="h" for="ch" forName="text" refType="h"/>
              <dgm:constr type="r" for="ch" forName="text" refType="l" refFor="ch" refForName="img"/>
              <dgm:constr type="l" for="ch" forName="text"/>
            </dgm:constrLst>
          </dgm:else>
        </dgm:choose>
        <dgm:ruleLst/>
        <dgm:layoutNode name="box" styleLbl="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/>
          <dgm:ruleLst/>
        </dgm:layoutNode>
        <dgm:layoutNode name="img" styleLbl="fgImgPlace1">
          <dgm:alg type="sp"/>
          <dgm:shape xmlns:r="http://schemas.openxmlformats.org/officeDocument/2006/relationships" type="roundRect" r:blip="" blipPhldr="1">
            <dgm:adjLst>
              <dgm:adj idx="1" val="0.1"/>
            </dgm:adjLst>
          </dgm:shape>
          <dgm:presOf/>
          <dgm:constrLst/>
          <dgm:ruleLst/>
        </dgm:layoutNode>
        <dgm:layoutNode name="text">
          <dgm:varLst>
            <dgm:bulletEnabled val="1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ect" r:blip="" hideGeom="1">
            <dgm:adjLst/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layoutNode>
      <dgm:forEach name="Name4" axis="followSib" ptType="sibTrans" cnt="1">
        <dgm:layoutNode name="spacer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#2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#3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#4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#5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1#6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simple1#7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8.xml><?xml version="1.0" encoding="utf-8"?>
<dgm:styleDef xmlns:dgm="http://schemas.openxmlformats.org/drawingml/2006/diagram" xmlns:a="http://schemas.openxmlformats.org/drawingml/2006/main" uniqueId="urn:microsoft.com/office/officeart/2005/8/quickstyle/simple1#8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9.xml><?xml version="1.0" encoding="utf-8"?>
<dgm:styleDef xmlns:dgm="http://schemas.openxmlformats.org/drawingml/2006/diagram" xmlns:a="http://schemas.openxmlformats.org/drawingml/2006/main" uniqueId="urn:microsoft.com/office/officeart/2005/8/quickstyle/simple1#9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0.xml><?xml version="1.0" encoding="utf-8"?>
<dgm:styleDef xmlns:dgm="http://schemas.openxmlformats.org/drawingml/2006/diagram" xmlns:a="http://schemas.openxmlformats.org/drawingml/2006/main" uniqueId="urn:microsoft.com/office/officeart/2005/8/quickstyle/simple1#10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1.xml><?xml version="1.0" encoding="utf-8"?>
<dgm:styleDef xmlns:dgm="http://schemas.openxmlformats.org/drawingml/2006/diagram" xmlns:a="http://schemas.openxmlformats.org/drawingml/2006/main" uniqueId="urn:microsoft.com/office/officeart/2005/8/quickstyle/simple1#1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2.xml><?xml version="1.0" encoding="utf-8"?>
<dgm:styleDef xmlns:dgm="http://schemas.openxmlformats.org/drawingml/2006/diagram" xmlns:a="http://schemas.openxmlformats.org/drawingml/2006/main" uniqueId="urn:microsoft.com/office/officeart/2005/8/quickstyle/simple1#12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Conceptos b&#225;sicos'!A1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Inicio!A1"/><Relationship Id="rId7" Type="http://schemas.openxmlformats.org/officeDocument/2006/relationships/image" Target="../media/image6.svg"/><Relationship Id="rId2" Type="http://schemas.openxmlformats.org/officeDocument/2006/relationships/hyperlink" Target="#Operadores!A1"/><Relationship Id="rId1" Type="http://schemas.openxmlformats.org/officeDocument/2006/relationships/hyperlink" Target="#'Conceptos b&#225;sicos'!A59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4.svg"/><Relationship Id="rId3" Type="http://schemas.openxmlformats.org/officeDocument/2006/relationships/hyperlink" Target="#Operadores!B61"/><Relationship Id="rId7" Type="http://schemas.openxmlformats.org/officeDocument/2006/relationships/image" Target="../media/image10.emf"/><Relationship Id="rId12" Type="http://schemas.openxmlformats.org/officeDocument/2006/relationships/image" Target="../media/image3.png"/><Relationship Id="rId2" Type="http://schemas.openxmlformats.org/officeDocument/2006/relationships/hyperlink" Target="#Operadores!C45"/><Relationship Id="rId1" Type="http://schemas.openxmlformats.org/officeDocument/2006/relationships/hyperlink" Target="#Parentisis!A1"/><Relationship Id="rId6" Type="http://schemas.openxmlformats.org/officeDocument/2006/relationships/image" Target="../media/image9.emf"/><Relationship Id="rId11" Type="http://schemas.openxmlformats.org/officeDocument/2006/relationships/hyperlink" Target="#Operadores!B13"/><Relationship Id="rId5" Type="http://schemas.openxmlformats.org/officeDocument/2006/relationships/hyperlink" Target="#Operadores!B84"/><Relationship Id="rId10" Type="http://schemas.openxmlformats.org/officeDocument/2006/relationships/hyperlink" Target="#'Conceptos b&#225;sicos'!A1"/><Relationship Id="rId4" Type="http://schemas.openxmlformats.org/officeDocument/2006/relationships/hyperlink" Target="#Operadores!B70"/><Relationship Id="rId9" Type="http://schemas.openxmlformats.org/officeDocument/2006/relationships/image" Target="../media/image1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hyperlink" Target="#'Conceptos b&#225;sicos'!A1"/><Relationship Id="rId4" Type="http://schemas.openxmlformats.org/officeDocument/2006/relationships/hyperlink" Target="#'Celda Relativa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Celda Absoluta'!A1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hyperlink" Target="#'Conceptos b&#225;sicos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Celda Mixta'!A1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hyperlink" Target="#'Conceptos b&#225;sicos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Ejemplo 01'!A1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hyperlink" Target="#'Conceptos b&#225;sicos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hyperlink" Target="#'Celda Mixta'!A1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hyperlink" Target="#'Ejemplo 02'!A1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7" Type="http://schemas.openxmlformats.org/officeDocument/2006/relationships/hyperlink" Target="#'Ejemplo 01'!A1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hyperlink" Target="#'Ejemplo 03'!A1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7" Type="http://schemas.openxmlformats.org/officeDocument/2006/relationships/hyperlink" Target="#'Ejemplo 02'!A1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hyperlink" Target="#'Ejemplo 04'!A1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7" Type="http://schemas.openxmlformats.org/officeDocument/2006/relationships/hyperlink" Target="#'Ejemplo 03'!A1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6" Type="http://schemas.openxmlformats.org/officeDocument/2006/relationships/hyperlink" Target="#'Ejemplo 05'!A1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7" Type="http://schemas.openxmlformats.org/officeDocument/2006/relationships/hyperlink" Target="#'Ejemplo 04'!A1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6" Type="http://schemas.openxmlformats.org/officeDocument/2006/relationships/hyperlink" Target="#'Ejemplo 06'!A1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6.xml"/><Relationship Id="rId7" Type="http://schemas.openxmlformats.org/officeDocument/2006/relationships/hyperlink" Target="#'Ejemplo 05'!A1"/><Relationship Id="rId2" Type="http://schemas.openxmlformats.org/officeDocument/2006/relationships/diagramLayout" Target="../diagrams/layout6.xml"/><Relationship Id="rId1" Type="http://schemas.openxmlformats.org/officeDocument/2006/relationships/diagramData" Target="../diagrams/data6.xml"/><Relationship Id="rId6" Type="http://schemas.openxmlformats.org/officeDocument/2006/relationships/hyperlink" Target="#'Ejemplo 07'!A1"/><Relationship Id="rId5" Type="http://schemas.microsoft.com/office/2007/relationships/diagramDrawing" Target="../diagrams/drawing6.xml"/><Relationship Id="rId4" Type="http://schemas.openxmlformats.org/officeDocument/2006/relationships/diagramColors" Target="../diagrams/colors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7.xml"/><Relationship Id="rId7" Type="http://schemas.openxmlformats.org/officeDocument/2006/relationships/hyperlink" Target="#'Ejemplo 06'!A1"/><Relationship Id="rId2" Type="http://schemas.openxmlformats.org/officeDocument/2006/relationships/diagramLayout" Target="../diagrams/layout7.xml"/><Relationship Id="rId1" Type="http://schemas.openxmlformats.org/officeDocument/2006/relationships/diagramData" Target="../diagrams/data7.xml"/><Relationship Id="rId6" Type="http://schemas.openxmlformats.org/officeDocument/2006/relationships/hyperlink" Target="#'Ejemplo 08'!A1"/><Relationship Id="rId5" Type="http://schemas.microsoft.com/office/2007/relationships/diagramDrawing" Target="../diagrams/drawing7.xml"/><Relationship Id="rId4" Type="http://schemas.openxmlformats.org/officeDocument/2006/relationships/diagramColors" Target="../diagrams/colors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8.xml"/><Relationship Id="rId7" Type="http://schemas.openxmlformats.org/officeDocument/2006/relationships/hyperlink" Target="#'Ejemplo 07'!A1"/><Relationship Id="rId2" Type="http://schemas.openxmlformats.org/officeDocument/2006/relationships/diagramLayout" Target="../diagrams/layout8.xml"/><Relationship Id="rId1" Type="http://schemas.openxmlformats.org/officeDocument/2006/relationships/diagramData" Target="../diagrams/data8.xml"/><Relationship Id="rId6" Type="http://schemas.openxmlformats.org/officeDocument/2006/relationships/hyperlink" Target="#'Ejemplo 09'!A1"/><Relationship Id="rId5" Type="http://schemas.microsoft.com/office/2007/relationships/diagramDrawing" Target="../diagrams/drawing8.xml"/><Relationship Id="rId4" Type="http://schemas.openxmlformats.org/officeDocument/2006/relationships/diagramColors" Target="../diagrams/colors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9.xml"/><Relationship Id="rId7" Type="http://schemas.openxmlformats.org/officeDocument/2006/relationships/hyperlink" Target="#'Ejemplo 08'!A1"/><Relationship Id="rId2" Type="http://schemas.openxmlformats.org/officeDocument/2006/relationships/diagramLayout" Target="../diagrams/layout9.xml"/><Relationship Id="rId1" Type="http://schemas.openxmlformats.org/officeDocument/2006/relationships/diagramData" Target="../diagrams/data9.xml"/><Relationship Id="rId6" Type="http://schemas.openxmlformats.org/officeDocument/2006/relationships/hyperlink" Target="#'Ejemplo 10'!A1"/><Relationship Id="rId5" Type="http://schemas.microsoft.com/office/2007/relationships/diagramDrawing" Target="../diagrams/drawing9.xml"/><Relationship Id="rId4" Type="http://schemas.openxmlformats.org/officeDocument/2006/relationships/diagramColors" Target="../diagrams/colors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0.xml"/><Relationship Id="rId7" Type="http://schemas.openxmlformats.org/officeDocument/2006/relationships/hyperlink" Target="#'Ejemplo 09'!A1"/><Relationship Id="rId2" Type="http://schemas.openxmlformats.org/officeDocument/2006/relationships/diagramLayout" Target="../diagrams/layout10.xml"/><Relationship Id="rId1" Type="http://schemas.openxmlformats.org/officeDocument/2006/relationships/diagramData" Target="../diagrams/data10.xml"/><Relationship Id="rId6" Type="http://schemas.openxmlformats.org/officeDocument/2006/relationships/hyperlink" Target="#'Ejemplo 11'!A1"/><Relationship Id="rId5" Type="http://schemas.microsoft.com/office/2007/relationships/diagramDrawing" Target="../diagrams/drawing10.xml"/><Relationship Id="rId4" Type="http://schemas.openxmlformats.org/officeDocument/2006/relationships/diagramColors" Target="../diagrams/colors1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1.xml"/><Relationship Id="rId7" Type="http://schemas.openxmlformats.org/officeDocument/2006/relationships/hyperlink" Target="#'Ejemplo 10'!A1"/><Relationship Id="rId2" Type="http://schemas.openxmlformats.org/officeDocument/2006/relationships/diagramLayout" Target="../diagrams/layout11.xml"/><Relationship Id="rId1" Type="http://schemas.openxmlformats.org/officeDocument/2006/relationships/diagramData" Target="../diagrams/data11.xml"/><Relationship Id="rId6" Type="http://schemas.openxmlformats.org/officeDocument/2006/relationships/hyperlink" Target="#'Ejemplo 12'!A1"/><Relationship Id="rId5" Type="http://schemas.microsoft.com/office/2007/relationships/diagramDrawing" Target="../diagrams/drawing11.xml"/><Relationship Id="rId4" Type="http://schemas.openxmlformats.org/officeDocument/2006/relationships/diagramColors" Target="../diagrams/colors11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2.xml"/><Relationship Id="rId7" Type="http://schemas.openxmlformats.org/officeDocument/2006/relationships/hyperlink" Target="#'Ejemplo 11'!A1"/><Relationship Id="rId2" Type="http://schemas.openxmlformats.org/officeDocument/2006/relationships/diagramLayout" Target="../diagrams/layout12.xml"/><Relationship Id="rId1" Type="http://schemas.openxmlformats.org/officeDocument/2006/relationships/diagramData" Target="../diagrams/data12.xml"/><Relationship Id="rId6" Type="http://schemas.openxmlformats.org/officeDocument/2006/relationships/hyperlink" Target="#'Obtener m&#225;s informaci&#243;n'!A1"/><Relationship Id="rId5" Type="http://schemas.microsoft.com/office/2007/relationships/diagramDrawing" Target="../diagrams/drawing12.xml"/><Relationship Id="rId4" Type="http://schemas.openxmlformats.org/officeDocument/2006/relationships/diagramColors" Target="../diagrams/colors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656896</xdr:colOff>
      <xdr:row>21</xdr:row>
      <xdr:rowOff>71300</xdr:rowOff>
    </xdr:from>
    <xdr:to>
      <xdr:col>0</xdr:col>
      <xdr:colOff>7541172</xdr:colOff>
      <xdr:row>35</xdr:row>
      <xdr:rowOff>117932</xdr:rowOff>
    </xdr:to>
    <xdr:pic>
      <xdr:nvPicPr>
        <xdr:cNvPr id="2" name="Imagen 1" descr="Logotipo de Exce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56896" y="3342645"/>
          <a:ext cx="6884276" cy="3541321"/>
        </a:xfrm>
        <a:prstGeom prst="rect">
          <a:avLst/>
        </a:prstGeom>
      </xdr:spPr>
    </xdr:pic>
    <xdr:clientData/>
  </xdr:twoCellAnchor>
  <xdr:absoluteAnchor>
    <xdr:pos x="10687050" y="5612448"/>
    <xdr:ext cx="1351407" cy="514350"/>
    <xdr:sp macro="" textlink="">
      <xdr:nvSpPr>
        <xdr:cNvPr id="3" name="Botón Siguiente" descr="Forma de botón con un hipervínculo para ir al siguiente paso">
          <a:hlinkClick xmlns:r="http://schemas.openxmlformats.org/officeDocument/2006/relationships" r:id="rId2" tooltip="Seleccione esta opción para iniciar el recorrido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687050" y="5612448"/>
          <a:ext cx="135140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es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Adelante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  <xdr:twoCellAnchor>
    <xdr:from>
      <xdr:col>0</xdr:col>
      <xdr:colOff>0</xdr:colOff>
      <xdr:row>4</xdr:row>
      <xdr:rowOff>102148</xdr:rowOff>
    </xdr:from>
    <xdr:to>
      <xdr:col>0</xdr:col>
      <xdr:colOff>5583621</xdr:colOff>
      <xdr:row>12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68D9B7A-2358-B8FD-D3C0-3F774E623A27}"/>
            </a:ext>
          </a:extLst>
        </xdr:cNvPr>
        <xdr:cNvSpPr txBox="1"/>
      </xdr:nvSpPr>
      <xdr:spPr>
        <a:xfrm>
          <a:off x="0" y="575114"/>
          <a:ext cx="5583621" cy="843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3200" b="1">
              <a:solidFill>
                <a:srgbClr val="C00000"/>
              </a:solidFill>
            </a:rPr>
            <a:t>Introducción a las fórmulas</a:t>
          </a:r>
        </a:p>
      </xdr:txBody>
    </xdr:sp>
    <xdr:clientData/>
  </xdr:twoCellAnchor>
  <xdr:twoCellAnchor>
    <xdr:from>
      <xdr:col>0</xdr:col>
      <xdr:colOff>0</xdr:colOff>
      <xdr:row>13</xdr:row>
      <xdr:rowOff>105104</xdr:rowOff>
    </xdr:from>
    <xdr:to>
      <xdr:col>0</xdr:col>
      <xdr:colOff>8894378</xdr:colOff>
      <xdr:row>24</xdr:row>
      <xdr:rowOff>150298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026E036-BB3A-4DAF-5229-24BE3364348B}"/>
            </a:ext>
          </a:extLst>
        </xdr:cNvPr>
        <xdr:cNvSpPr txBox="1"/>
      </xdr:nvSpPr>
      <xdr:spPr>
        <a:xfrm>
          <a:off x="0" y="1642242"/>
          <a:ext cx="8894378" cy="25282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400" b="1"/>
            <a:t>En unos pocos pasos, podrá empezar a crear fórmulas y funciones de Excel, la aplicación de hoja de cálculo más eficaz del mundo.</a:t>
          </a:r>
        </a:p>
      </xdr:txBody>
    </xdr:sp>
    <xdr:clientData/>
  </xdr:twoCellAnchor>
  <xdr:twoCellAnchor editAs="oneCell">
    <xdr:from>
      <xdr:col>7</xdr:col>
      <xdr:colOff>656897</xdr:colOff>
      <xdr:row>19</xdr:row>
      <xdr:rowOff>26274</xdr:rowOff>
    </xdr:from>
    <xdr:to>
      <xdr:col>16</xdr:col>
      <xdr:colOff>486104</xdr:colOff>
      <xdr:row>35</xdr:row>
      <xdr:rowOff>215010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9009BF-AA08-4D76-8E5B-4269B020B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875" b="89969" l="9804" r="90000">
                      <a14:foregroundMark x1="10392" y1="13166" x2="9804" y2="20690"/>
                      <a14:foregroundMark x1="16471" y1="21317" x2="20882" y2="21630"/>
                      <a14:foregroundMark x1="23725" y1="12539" x2="27549" y2="12539"/>
                      <a14:foregroundMark x1="29216" y1="20376" x2="33039" y2="20690"/>
                    </a14:backgroundRemoval>
                  </a14:imgEffect>
                  <a14:imgEffect>
                    <a14:artisticGlowEdg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0897" y="2798377"/>
          <a:ext cx="6687207" cy="4182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364306</xdr:colOff>
      <xdr:row>0</xdr:row>
      <xdr:rowOff>352425</xdr:rowOff>
    </xdr:from>
    <xdr:to>
      <xdr:col>1</xdr:col>
      <xdr:colOff>5249869</xdr:colOff>
      <xdr:row>26</xdr:row>
      <xdr:rowOff>28575</xdr:rowOff>
    </xdr:to>
    <xdr:grpSp>
      <xdr:nvGrpSpPr>
        <xdr:cNvPr id="106" name="Grupo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GrpSpPr/>
      </xdr:nvGrpSpPr>
      <xdr:grpSpPr>
        <a:xfrm>
          <a:off x="364306" y="352425"/>
          <a:ext cx="5754079" cy="5280537"/>
          <a:chOff x="333375" y="266700"/>
          <a:chExt cx="5695950" cy="5482605"/>
        </a:xfrm>
      </xdr:grpSpPr>
      <xdr:grpSp>
        <xdr:nvGrpSpPr>
          <xdr:cNvPr id="107" name="Agregar la instrucción de números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GrpSpPr/>
        </xdr:nvGrpSpPr>
        <xdr:grpSpPr>
          <a:xfrm>
            <a:off x="333375" y="266700"/>
            <a:ext cx="5695950" cy="5482605"/>
            <a:chOff x="0" y="0"/>
            <a:chExt cx="5695950" cy="5539716"/>
          </a:xfrm>
        </xdr:grpSpPr>
        <xdr:sp macro="" textlink="">
          <xdr:nvSpPr>
            <xdr:cNvPr id="121" name="Fondo" descr="Fondo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/>
          </xdr:nvSpPr>
          <xdr:spPr>
            <a:xfrm>
              <a:off x="0" y="0"/>
              <a:ext cx="5695950" cy="5539716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sz="1100"/>
            </a:p>
          </xdr:txBody>
        </xdr:sp>
        <xdr:sp macro="" textlink="">
          <xdr:nvSpPr>
            <xdr:cNvPr id="122" name="Paso" descr="Conceptos básicos: realizar operaciones matemáticas con Excel&#10;">
              <a:extLst>
                <a:ext uri="{FF2B5EF4-FFF2-40B4-BE49-F238E27FC236}">
                  <a16:creationId xmlns:a16="http://schemas.microsoft.com/office/drawing/2014/main" id="{00000000-0008-0000-0100-00007A000000}"/>
                </a:ext>
              </a:extLst>
            </xdr:cNvPr>
            <xdr:cNvSpPr txBox="1"/>
          </xdr:nvSpPr>
          <xdr:spPr>
            <a:xfrm>
              <a:off x="184433" y="118698"/>
              <a:ext cx="5216551" cy="10218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" sz="2200" b="0" i="0" u="none" strike="noStrike" kern="0" cap="none" spc="0" normalizeH="0" baseline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effectLst/>
                  <a:uLnTx/>
                  <a:uFillTx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Conceptos básicos: Realizar operaciones matemáticas con Excel</a:t>
              </a:r>
              <a:endParaRPr kumimoji="0" lang="en-US" sz="2200" b="1" i="1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sp macro="" textlink="">
          <xdr:nvSpPr>
            <xdr:cNvPr id="123" name="Botón Más información" descr="Vaya hacia abajo para obtener más detalles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00000000-0008-0000-0100-00007B000000}"/>
                </a:ext>
              </a:extLst>
            </xdr:cNvPr>
            <xdr:cNvSpPr/>
          </xdr:nvSpPr>
          <xdr:spPr>
            <a:xfrm>
              <a:off x="234924" y="4878248"/>
              <a:ext cx="3111603" cy="536455"/>
            </a:xfrm>
            <a:prstGeom prst="downArrowCallou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rgbClr val="0B744D">
                  <a:alpha val="50000"/>
                </a:srgbClr>
              </a:solidFill>
              <a:miter lim="800000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rtl="0"/>
              <a:r>
                <a:rPr lang="es" sz="12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Vaya hacia abajo para obtener más detalles</a:t>
              </a:r>
            </a:p>
          </xdr:txBody>
        </xdr:sp>
        <xdr:cxnSp macro="">
          <xdr:nvCxnSpPr>
            <xdr:cNvPr id="124" name="Línea inferior" descr="Línea decorativa">
              <a:extLst>
                <a:ext uri="{FF2B5EF4-FFF2-40B4-BE49-F238E27FC236}">
                  <a16:creationId xmlns:a16="http://schemas.microsoft.com/office/drawing/2014/main" id="{00000000-0008-0000-0100-00007C000000}"/>
                </a:ext>
              </a:extLst>
            </xdr:cNvPr>
            <xdr:cNvCxnSpPr>
              <a:cxnSpLocks/>
            </xdr:cNvCxnSpPr>
          </xdr:nvCxnSpPr>
          <xdr:spPr>
            <a:xfrm>
              <a:off x="184433" y="4713423"/>
              <a:ext cx="5213376" cy="0"/>
            </a:xfrm>
            <a:prstGeom prst="line">
              <a:avLst/>
            </a:prstGeom>
            <a:ln w="25400">
              <a:solidFill>
                <a:srgbClr val="21734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5" name="Botón Siguiente" descr="Botón Siguiente paso, con un hipervínculo a la siguiente hoja">
              <a:hlinkClick xmlns:r="http://schemas.openxmlformats.org/officeDocument/2006/relationships" r:id="rId2" tooltip="Haga clic aquí para pasar a la siguiente hoja de cálculo."/>
              <a:extLst>
                <a:ext uri="{FF2B5EF4-FFF2-40B4-BE49-F238E27FC236}">
                  <a16:creationId xmlns:a16="http://schemas.microsoft.com/office/drawing/2014/main" id="{00000000-0008-0000-0100-00007D000000}"/>
                </a:ext>
              </a:extLst>
            </xdr:cNvPr>
            <xdr:cNvSpPr/>
          </xdr:nvSpPr>
          <xdr:spPr>
            <a:xfrm>
              <a:off x="4085662" y="4878252"/>
              <a:ext cx="1362639" cy="348492"/>
            </a:xfrm>
            <a:prstGeom prst="rightArrowCallout">
              <a:avLst>
                <a:gd name="adj1" fmla="val 32829"/>
                <a:gd name="adj2" fmla="val 31524"/>
                <a:gd name="adj3" fmla="val 25000"/>
                <a:gd name="adj4" fmla="val 86357"/>
              </a:avLst>
            </a:prstGeom>
            <a:ln>
              <a:solidFill>
                <a:srgbClr val="0B744D"/>
              </a:solidFill>
              <a:miter lim="800000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s" sz="1200">
                  <a:solidFill>
                    <a:srgbClr val="0B744D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Siguiente paso</a:t>
              </a:r>
            </a:p>
          </xdr:txBody>
        </xdr:sp>
        <xdr:cxnSp macro="">
          <xdr:nvCxnSpPr>
            <xdr:cNvPr id="126" name="Línea superior" descr="Línea decorativa">
              <a:extLst>
                <a:ext uri="{FF2B5EF4-FFF2-40B4-BE49-F238E27FC236}">
                  <a16:creationId xmlns:a16="http://schemas.microsoft.com/office/drawing/2014/main" id="{00000000-0008-0000-0100-00007E000000}"/>
                </a:ext>
              </a:extLst>
            </xdr:cNvPr>
            <xdr:cNvCxnSpPr>
              <a:cxnSpLocks/>
            </xdr:cNvCxnSpPr>
          </xdr:nvCxnSpPr>
          <xdr:spPr>
            <a:xfrm>
              <a:off x="184433" y="990314"/>
              <a:ext cx="5213376" cy="0"/>
            </a:xfrm>
            <a:prstGeom prst="line">
              <a:avLst/>
            </a:prstGeom>
            <a:ln w="25400">
              <a:solidFill>
                <a:srgbClr val="21734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8" name="txt_Paso" descr="Puede sumar, restar, multiplicar y dividir en Excel sin tener que usar las funciones integradas. Solo tiene que usar los operadores +, -, *, /. Todas las fórmulas empiezan con un signo igual (=).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 txBox="1"/>
        </xdr:nvSpPr>
        <xdr:spPr>
          <a:xfrm>
            <a:off x="451745" y="1354906"/>
            <a:ext cx="5284985" cy="714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Puede sumar, restar, multiplicar y dividir en Excel sin tener que usar las funciones integradas. Solo tiene que usar algunos operadores básicos: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+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-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*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/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. Todas las fórmulas empiezan con un signo igual (=).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09" name="grp_Paso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GrpSpPr/>
        </xdr:nvGrpSpPr>
        <xdr:grpSpPr>
          <a:xfrm>
            <a:off x="542925" y="2151150"/>
            <a:ext cx="5220101" cy="596207"/>
            <a:chOff x="609600" y="8170950"/>
            <a:chExt cx="5186234" cy="596207"/>
          </a:xfrm>
        </xdr:grpSpPr>
        <xdr:sp macro="" textlink="">
          <xdr:nvSpPr>
            <xdr:cNvPr id="119" name="txt_Paso" descr="Para sumar, seleccione la celda F3, escriba =C3+C4 y, después, presione ENTRAR. &#10;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 txBox="1"/>
          </xdr:nvSpPr>
          <xdr:spPr>
            <a:xfrm>
              <a:off x="1017295" y="8212908"/>
              <a:ext cx="4778539" cy="554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Para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sumar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, seleccione la celda F3, escriba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=C3+C4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 y después presione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ENTRAR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. 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0" name="shp_Paso" descr="2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/>
          </xdr:nvSpPr>
          <xdr:spPr>
            <a:xfrm>
              <a:off x="609600" y="8170950"/>
              <a:ext cx="372191" cy="366863"/>
            </a:xfrm>
            <a:prstGeom prst="ellipse">
              <a:avLst/>
            </a:prstGeom>
            <a:solidFill>
              <a:srgbClr val="21734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s" sz="16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1</a:t>
              </a:r>
            </a:p>
          </xdr:txBody>
        </xdr:sp>
      </xdr:grpSp>
      <xdr:grpSp>
        <xdr:nvGrpSpPr>
          <xdr:cNvPr id="110" name="grp_Paso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GrpSpPr/>
        </xdr:nvGrpSpPr>
        <xdr:grpSpPr>
          <a:xfrm>
            <a:off x="542925" y="2817386"/>
            <a:ext cx="5220101" cy="596207"/>
            <a:chOff x="609600" y="8294261"/>
            <a:chExt cx="5186234" cy="596207"/>
          </a:xfrm>
        </xdr:grpSpPr>
        <xdr:sp macro="" textlink="">
          <xdr:nvSpPr>
            <xdr:cNvPr id="117" name="txt_Paso" descr="Para restar, seleccione la celda F4, escriba =C3-C4 y, después, presione ENTRAR. &#10;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 txBox="1"/>
          </xdr:nvSpPr>
          <xdr:spPr>
            <a:xfrm>
              <a:off x="1017295" y="8336219"/>
              <a:ext cx="4778539" cy="554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Para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restar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, seleccione la celda F4, escriba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=C3-C4</a:t>
              </a:r>
              <a:r>
                <a:rPr lang="es" sz="1100" b="0" i="0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y después presione </a:t>
              </a:r>
              <a:r>
                <a:rPr lang="es" sz="1100" b="1" i="0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ENTRAR</a:t>
              </a:r>
              <a:r>
                <a:rPr lang="es" sz="1100" b="0" i="0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. </a:t>
              </a:r>
              <a:endPara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18" name="shp_Paso" descr="3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/>
          </xdr:nvSpPr>
          <xdr:spPr>
            <a:xfrm>
              <a:off x="609600" y="8294261"/>
              <a:ext cx="372191" cy="366863"/>
            </a:xfrm>
            <a:prstGeom prst="ellipse">
              <a:avLst/>
            </a:prstGeom>
            <a:solidFill>
              <a:srgbClr val="21734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s" sz="16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2</a:t>
              </a:r>
            </a:p>
          </xdr:txBody>
        </xdr:sp>
      </xdr:grpSp>
      <xdr:grpSp>
        <xdr:nvGrpSpPr>
          <xdr:cNvPr id="111" name="grp_Paso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GrpSpPr/>
        </xdr:nvGrpSpPr>
        <xdr:grpSpPr>
          <a:xfrm>
            <a:off x="533400" y="3502673"/>
            <a:ext cx="5220101" cy="596206"/>
            <a:chOff x="609600" y="8417573"/>
            <a:chExt cx="5186234" cy="596206"/>
          </a:xfrm>
        </xdr:grpSpPr>
        <xdr:sp macro="" textlink="">
          <xdr:nvSpPr>
            <xdr:cNvPr id="115" name="txt_Paso" descr="Para multiplicar, seleccione la celda F5, escriba =C3*C4 y, después, presione ENTRAR.&#10;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 txBox="1"/>
          </xdr:nvSpPr>
          <xdr:spPr>
            <a:xfrm>
              <a:off x="1017295" y="8459530"/>
              <a:ext cx="4778539" cy="554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Para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multiplicar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, seleccione la celda F5, escriba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=C3*C4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 y después presione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ENTRAR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.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16" name="shp_Paso" descr="4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/>
          </xdr:nvSpPr>
          <xdr:spPr>
            <a:xfrm>
              <a:off x="609600" y="8417573"/>
              <a:ext cx="372191" cy="366863"/>
            </a:xfrm>
            <a:prstGeom prst="ellipse">
              <a:avLst/>
            </a:prstGeom>
            <a:solidFill>
              <a:srgbClr val="21734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s" sz="16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3</a:t>
              </a:r>
            </a:p>
          </xdr:txBody>
        </xdr:sp>
      </xdr:grpSp>
      <xdr:grpSp>
        <xdr:nvGrpSpPr>
          <xdr:cNvPr id="112" name="grp_Paso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GrpSpPr/>
        </xdr:nvGrpSpPr>
        <xdr:grpSpPr>
          <a:xfrm>
            <a:off x="542925" y="4168988"/>
            <a:ext cx="5220101" cy="596206"/>
            <a:chOff x="609600" y="8521913"/>
            <a:chExt cx="5186234" cy="596206"/>
          </a:xfrm>
        </xdr:grpSpPr>
        <xdr:sp macro="" textlink="">
          <xdr:nvSpPr>
            <xdr:cNvPr id="113" name="txt_Paso" descr="Para dividir, seleccione la celda F6, escriba =C3/C4 y, después, presione ENTRAR.&#10;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 txBox="1"/>
          </xdr:nvSpPr>
          <xdr:spPr>
            <a:xfrm>
              <a:off x="1017295" y="8563870"/>
              <a:ext cx="4778539" cy="554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Para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dividir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, seleccione la celda F6, escriba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=C3/C4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 y después presione </a:t>
              </a:r>
              <a:r>
                <a:rPr lang="es" sz="1100" b="1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ENTRAR</a:t>
              </a:r>
              <a:r>
                <a:rPr lang="es" sz="1100" b="0" i="0" u="none" strike="noStrike" kern="0" cap="none" spc="0" normalizeH="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uLnTx/>
                  <a:uFillTx/>
                  <a:latin typeface="Segoe UI" panose="020B0502040204020203" pitchFamily="34" charset="0"/>
                  <a:ea typeface="Segoe UI" pitchFamily="34" charset="0"/>
                  <a:cs typeface="Segoe UI" panose="020B0502040204020203" pitchFamily="34" charset="0"/>
                </a:rPr>
                <a:t>.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14" name="shp_Paso" descr="5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/>
          </xdr:nvSpPr>
          <xdr:spPr>
            <a:xfrm>
              <a:off x="609600" y="8521913"/>
              <a:ext cx="372191" cy="366863"/>
            </a:xfrm>
            <a:prstGeom prst="ellipse">
              <a:avLst/>
            </a:prstGeom>
            <a:solidFill>
              <a:srgbClr val="21734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s" sz="16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4</a:t>
              </a:r>
            </a:p>
          </xdr:txBody>
        </xdr:sp>
      </xdr:grpSp>
    </xdr:grpSp>
    <xdr:clientData/>
  </xdr:twoCellAnchor>
  <xdr:twoCellAnchor editAs="absolute">
    <xdr:from>
      <xdr:col>0</xdr:col>
      <xdr:colOff>364306</xdr:colOff>
      <xdr:row>26</xdr:row>
      <xdr:rowOff>133350</xdr:rowOff>
    </xdr:from>
    <xdr:to>
      <xdr:col>1</xdr:col>
      <xdr:colOff>5249869</xdr:colOff>
      <xdr:row>59</xdr:row>
      <xdr:rowOff>28575</xdr:rowOff>
    </xdr:to>
    <xdr:sp macro="" textlink="">
      <xdr:nvSpPr>
        <xdr:cNvPr id="128" name="Rectángulo 127" descr="Fondo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364306" y="5962650"/>
          <a:ext cx="5733288" cy="63246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 editAs="absolute">
    <xdr:from>
      <xdr:col>0</xdr:col>
      <xdr:colOff>564331</xdr:colOff>
      <xdr:row>30</xdr:row>
      <xdr:rowOff>148521</xdr:rowOff>
    </xdr:from>
    <xdr:to>
      <xdr:col>1</xdr:col>
      <xdr:colOff>4967651</xdr:colOff>
      <xdr:row>30</xdr:row>
      <xdr:rowOff>148521</xdr:rowOff>
    </xdr:to>
    <xdr:cxnSp macro="">
      <xdr:nvCxnSpPr>
        <xdr:cNvPr id="129" name="Conector recto 128" descr="Línea decorativa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CxnSpPr>
          <a:cxnSpLocks/>
        </xdr:cNvCxnSpPr>
      </xdr:nvCxnSpPr>
      <xdr:spPr>
        <a:xfrm>
          <a:off x="564331" y="6882696"/>
          <a:ext cx="525104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564331</xdr:colOff>
      <xdr:row>55</xdr:row>
      <xdr:rowOff>177439</xdr:rowOff>
    </xdr:from>
    <xdr:to>
      <xdr:col>1</xdr:col>
      <xdr:colOff>4967651</xdr:colOff>
      <xdr:row>55</xdr:row>
      <xdr:rowOff>177439</xdr:rowOff>
    </xdr:to>
    <xdr:cxnSp macro="">
      <xdr:nvCxnSpPr>
        <xdr:cNvPr id="130" name="Conector recto 129" descr="Línea decorativa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>
          <a:cxnSpLocks/>
        </xdr:cNvCxnSpPr>
      </xdr:nvCxnSpPr>
      <xdr:spPr>
        <a:xfrm>
          <a:off x="564331" y="11674114"/>
          <a:ext cx="525104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564331</xdr:colOff>
      <xdr:row>27</xdr:row>
      <xdr:rowOff>1155</xdr:rowOff>
    </xdr:from>
    <xdr:to>
      <xdr:col>1</xdr:col>
      <xdr:colOff>4876800</xdr:colOff>
      <xdr:row>30</xdr:row>
      <xdr:rowOff>114300</xdr:rowOff>
    </xdr:to>
    <xdr:sp macro="" textlink="">
      <xdr:nvSpPr>
        <xdr:cNvPr id="131" name="Paso" descr="Más información sobre las fórmulas, celdas e intervalos&#10;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564331" y="6013017"/>
          <a:ext cx="5160194" cy="83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Más información sobre las fórmulas, celdas e intervalos</a:t>
          </a:r>
          <a:endParaRPr lang="en-US" sz="2200" b="0">
            <a:solidFill>
              <a:schemeClr val="bg2">
                <a:lumMod val="25000"/>
              </a:schemeClr>
            </a:solidFill>
            <a:effectLst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478606</xdr:colOff>
      <xdr:row>31</xdr:row>
      <xdr:rowOff>46764</xdr:rowOff>
    </xdr:from>
    <xdr:to>
      <xdr:col>1</xdr:col>
      <xdr:colOff>4924924</xdr:colOff>
      <xdr:row>35</xdr:row>
      <xdr:rowOff>9525</xdr:rowOff>
    </xdr:to>
    <xdr:sp macro="" textlink="">
      <xdr:nvSpPr>
        <xdr:cNvPr id="132" name="txt_Paso" descr="Excel se compone de celdas individuales que se agrupan en filas y columnas. Las filas están numeradas y las columnas tienen letras. Hay 1.048.576 filas y 16.384 columnas, y se pueden incluir fórmulas y funciones en cualquiera de ellas.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478606" y="6971439"/>
          <a:ext cx="5294043" cy="724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Excel se compone de celdas individuales que se agrupan en filas y columnas. Las filas están numeradas y las columnas tienen letras. Hay más de 1 millón de filas y 16000 columnas, y se pueden incluir fórmulas en cualquiera de ellas.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478606</xdr:colOff>
      <xdr:row>34</xdr:row>
      <xdr:rowOff>128178</xdr:rowOff>
    </xdr:from>
    <xdr:to>
      <xdr:col>1</xdr:col>
      <xdr:colOff>4924924</xdr:colOff>
      <xdr:row>41</xdr:row>
      <xdr:rowOff>53695</xdr:rowOff>
    </xdr:to>
    <xdr:sp macro="" textlink="">
      <xdr:nvSpPr>
        <xdr:cNvPr id="133" name="txt_Paso" descr="Las fórmulas pueden contener referencias a celdas, referencias a intervalos de celdas, operadores y constantes. Estos son algunos ejemplos de fórmulas:&#10;&#10;=A1+BI&#10;=10*20&#10;=SUMA(A1:A10)&#10;&#10;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478606" y="7624353"/>
          <a:ext cx="5294043" cy="1259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Las fórmulas pueden contener referencias a celdas, referencias a intervalos de celdas, operadores y constantes. Estos son algunos ejemplos de fórmulas:</a:t>
          </a:r>
        </a:p>
        <a:p>
          <a:pPr marL="457200" marR="0" lvl="1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457200" marR="0" lvl="1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=A1+B1</a:t>
          </a:r>
        </a:p>
        <a:p>
          <a:pPr marL="457200" marR="0" lvl="1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=10+20</a:t>
          </a:r>
        </a:p>
        <a:p>
          <a:pPr marL="457200" marR="0" lvl="1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=SUMA(A1:A10)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478606</xdr:colOff>
      <xdr:row>41</xdr:row>
      <xdr:rowOff>4915</xdr:rowOff>
    </xdr:from>
    <xdr:to>
      <xdr:col>1</xdr:col>
      <xdr:colOff>5060131</xdr:colOff>
      <xdr:row>46</xdr:row>
      <xdr:rowOff>161925</xdr:rowOff>
    </xdr:to>
    <xdr:sp macro="" textlink="">
      <xdr:nvSpPr>
        <xdr:cNvPr id="134" name="txt_Paso" descr="Observará que, en el tercer ejemplo anterior, usamos la función SUMA. Una función es un comando predefinido que toma valores, los calcula de alguna forma y devuelve un resultado. Por ejemplo, la función SUMA toma las referencias de celda o intervalos que especifique y los suma. En este ejemplo toma las celdas A1 a A10 y las suma. Excel tiene más de 400 funciones que puede explorar en la pestaña Fórmulas.&#10;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478606" y="8834590"/>
          <a:ext cx="5429250" cy="1109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Observará que en el tercer ejemplo anterior, usamos la función </a:t>
          </a: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SUMA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 Una función es un comando predefinido que toma valores, los calcula de alguna forma y devuelve un resultado. Por ejemplo, la función </a:t>
          </a: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SUMA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toma las referencias de celda o intervalos que especifique y los suma. En este ejemplo toma las celdas A1 a A10 y las suma. Excel tiene más de 400 funciones que puede explorar en la pestaña </a:t>
          </a: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Fórmulas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478606</xdr:colOff>
      <xdr:row>46</xdr:row>
      <xdr:rowOff>110009</xdr:rowOff>
    </xdr:from>
    <xdr:to>
      <xdr:col>1</xdr:col>
      <xdr:colOff>5031556</xdr:colOff>
      <xdr:row>50</xdr:row>
      <xdr:rowOff>76200</xdr:rowOff>
    </xdr:to>
    <xdr:sp macro="" textlink="">
      <xdr:nvSpPr>
        <xdr:cNvPr id="135" name="txt_Paso" descr="Las fórmulas con funciones empiezan con un signo igual, seguido del nombre de la función con los argumentos (los valores que usa una función para calcular) entre paréntesis. &#10;&#10;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478606" y="9892184"/>
          <a:ext cx="5400675" cy="728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Las fórmulas con funciones empiezan con un signo igual, seguido del nombre de la función con los argumentos (los valores que usa una función para calcular) entre paréntesis.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478606</xdr:colOff>
      <xdr:row>50</xdr:row>
      <xdr:rowOff>26735</xdr:rowOff>
    </xdr:from>
    <xdr:to>
      <xdr:col>1</xdr:col>
      <xdr:colOff>5041081</xdr:colOff>
      <xdr:row>55</xdr:row>
      <xdr:rowOff>119212</xdr:rowOff>
    </xdr:to>
    <xdr:sp macro="" textlink="">
      <xdr:nvSpPr>
        <xdr:cNvPr id="136" name="txt_Paso" descr="Para confirmar una fórmula, presione ENTRAR. Cuando lo haga la fórmula se calculará y el resultado se mostrará en la celda. Para ver la propia fórmula, puede ver la barra de fórmulas debajo de la cinta de opciones, o presionar F2 para entrar en el Modo de edición, donde verá la fórmula en la celda. Presione ENTRAR de nuevo para finalizar la fórmula y calcular el resultado.&#10;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478606" y="10570910"/>
          <a:ext cx="5410200" cy="1044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Para confirmar una fórmula, presione </a:t>
          </a: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ENTRAR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 Cuando lo haga la fórmula se calculará y el resultado se mostrará en la celda. Para ver la propia fórmula, puede ver la barra de fórmulas debajo de la cinta de opciones, o presionar </a:t>
          </a: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F2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para entrar en el Modo de edición, donde verá la fórmula en la celda. Presione </a:t>
          </a:r>
          <a:r>
            <a:rPr lang="e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ENTRAR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de nuevo para finalizar la fórmula y calcular el resultado.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488131</xdr:colOff>
      <xdr:row>56</xdr:row>
      <xdr:rowOff>120162</xdr:rowOff>
    </xdr:from>
    <xdr:to>
      <xdr:col>1</xdr:col>
      <xdr:colOff>915576</xdr:colOff>
      <xdr:row>58</xdr:row>
      <xdr:rowOff>74611</xdr:rowOff>
    </xdr:to>
    <xdr:sp macro="" textlink="">
      <xdr:nvSpPr>
        <xdr:cNvPr id="137" name="BotónAnterior" descr="Volver a la hoja anterior">
          <a:hlinkClick xmlns:r="http://schemas.openxmlformats.org/officeDocument/2006/relationships" r:id="rId3" tooltip="Haga clic aquí para volver a la hoja anterior.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 flipH="1">
          <a:off x="488131" y="11807337"/>
          <a:ext cx="1275170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  <xdr:twoCellAnchor editAs="absolute">
    <xdr:from>
      <xdr:col>1</xdr:col>
      <xdr:colOff>3601267</xdr:colOff>
      <xdr:row>56</xdr:row>
      <xdr:rowOff>120162</xdr:rowOff>
    </xdr:from>
    <xdr:to>
      <xdr:col>1</xdr:col>
      <xdr:colOff>4876437</xdr:colOff>
      <xdr:row>58</xdr:row>
      <xdr:rowOff>74611</xdr:rowOff>
    </xdr:to>
    <xdr:sp macro="" textlink="">
      <xdr:nvSpPr>
        <xdr:cNvPr id="138" name="BotónSiguiente" descr="Avanzar a la siguiente hoja">
          <a:hlinkClick xmlns:r="http://schemas.openxmlformats.org/officeDocument/2006/relationships" r:id="rId2" tooltip="Haga clic aquí para pasar a la siguiente hoja.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4448992" y="11807337"/>
          <a:ext cx="1275170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</a:t>
          </a:r>
        </a:p>
      </xdr:txBody>
    </xdr:sp>
    <xdr:clientData fPrintsWithSheet="0"/>
  </xdr:twoCellAnchor>
  <xdr:twoCellAnchor editAs="absolute">
    <xdr:from>
      <xdr:col>5</xdr:col>
      <xdr:colOff>392876</xdr:colOff>
      <xdr:row>6</xdr:row>
      <xdr:rowOff>114300</xdr:rowOff>
    </xdr:from>
    <xdr:to>
      <xdr:col>8</xdr:col>
      <xdr:colOff>257173</xdr:colOff>
      <xdr:row>13</xdr:row>
      <xdr:rowOff>152399</xdr:rowOff>
    </xdr:to>
    <xdr:grpSp>
      <xdr:nvGrpSpPr>
        <xdr:cNvPr id="139" name="CRÉDITO ADICIONAL" descr="CRÉDITO ADICIONAL&#10;&#10;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GrpSpPr/>
      </xdr:nvGrpSpPr>
      <xdr:grpSpPr>
        <a:xfrm>
          <a:off x="9602424" y="1834945"/>
          <a:ext cx="2478039" cy="1332680"/>
          <a:chOff x="9048750" y="3743325"/>
          <a:chExt cx="2393415" cy="1381124"/>
        </a:xfrm>
      </xdr:grpSpPr>
      <xdr:sp macro="" textlink="">
        <xdr:nvSpPr>
          <xdr:cNvPr id="140" name="Paso" descr="CRÉDITO ADICIONAL&#10;Puede elevar un valor a una potencia mediante el operador exponencial (^), por ejemplo =A1^A2. Puede escribirlo con Mayús+`.&#10;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 txBox="1"/>
        </xdr:nvSpPr>
        <xdr:spPr>
          <a:xfrm>
            <a:off x="9648643" y="3895724"/>
            <a:ext cx="1793522" cy="1228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" panose="020B0502040204020203" pitchFamily="34" charset="0"/>
              </a:rPr>
              <a:t>CRÉDITO ADICIONAL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Puede elevar un valor a una potencia mediante el operador exponencial (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^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), por ejemplo =C3^C4. Puede escribirlo con </a:t>
            </a:r>
            <a:r>
              <a:rPr lang="es-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Mayús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+^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</xdr:txBody>
      </xdr:sp>
      <xdr:pic>
        <xdr:nvPicPr>
          <xdr:cNvPr id="141" name="Cinta de crédito adicional" descr="Cinta decorativa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9287099" y="3950551"/>
            <a:ext cx="474289" cy="439736"/>
          </a:xfrm>
          <a:prstGeom prst="rect">
            <a:avLst/>
          </a:prstGeom>
        </xdr:spPr>
      </xdr:pic>
      <xdr:sp macro="" textlink="">
        <xdr:nvSpPr>
          <xdr:cNvPr id="142" name="Flecha de crédito adicional" descr="Flecha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/>
        </xdr:nvSpPr>
        <xdr:spPr>
          <a:xfrm rot="15682076" flipH="1">
            <a:off x="9021478" y="3770597"/>
            <a:ext cx="462029" cy="407486"/>
          </a:xfrm>
          <a:prstGeom prst="arc">
            <a:avLst>
              <a:gd name="adj1" fmla="val 15011426"/>
              <a:gd name="adj2" fmla="val 672396"/>
            </a:avLst>
          </a:prstGeom>
          <a:ln w="19050">
            <a:solidFill>
              <a:schemeClr val="accent2">
                <a:lumMod val="60000"/>
                <a:lumOff val="40000"/>
              </a:schemeClr>
            </a:solidFill>
            <a:head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  <xdr:twoCellAnchor editAs="absolute">
    <xdr:from>
      <xdr:col>1</xdr:col>
      <xdr:colOff>5412555</xdr:colOff>
      <xdr:row>7</xdr:row>
      <xdr:rowOff>143014</xdr:rowOff>
    </xdr:from>
    <xdr:to>
      <xdr:col>4</xdr:col>
      <xdr:colOff>787437</xdr:colOff>
      <xdr:row>15</xdr:row>
      <xdr:rowOff>25818</xdr:rowOff>
    </xdr:to>
    <xdr:grpSp>
      <xdr:nvGrpSpPr>
        <xdr:cNvPr id="163" name="Grupo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GrpSpPr/>
      </xdr:nvGrpSpPr>
      <xdr:grpSpPr>
        <a:xfrm>
          <a:off x="6281071" y="2052111"/>
          <a:ext cx="2478689" cy="1349449"/>
          <a:chOff x="6219825" y="1948519"/>
          <a:chExt cx="2270982" cy="1409701"/>
        </a:xfrm>
      </xdr:grpSpPr>
      <xdr:pic>
        <xdr:nvPicPr>
          <xdr:cNvPr id="165" name="Estrellas" descr="Estrellas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219825" y="1993317"/>
            <a:ext cx="388117" cy="337815"/>
          </a:xfrm>
          <a:prstGeom prst="rect">
            <a:avLst/>
          </a:prstGeom>
        </xdr:spPr>
      </xdr:pic>
      <xdr:sp macro="" textlink="">
        <xdr:nvSpPr>
          <xdr:cNvPr id="166" name="Instrucciones" descr="MIRE ESTO&#10;Cambie los números aquí y vea cómo los resultados de las fórmulas cambian automáticamente.&#10;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 txBox="1"/>
        </xdr:nvSpPr>
        <xdr:spPr>
          <a:xfrm>
            <a:off x="6521695" y="1948519"/>
            <a:ext cx="1969112" cy="1409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 Light" panose="020B0502040204020203" pitchFamily="34" charset="0"/>
              </a:rPr>
              <a:t>MIRE ESTO</a:t>
            </a:r>
          </a:p>
          <a:p>
            <a:pPr rtl="0"/>
            <a:r>
              <a:rPr lang="es" sz="1200" kern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Cambie</a:t>
            </a:r>
            <a:r>
              <a:rPr lang="es" sz="120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los números aquí y vea cómo los resultados de las fórmulas cambian automáticamente.</a:t>
            </a:r>
            <a:endParaRPr lang="en-US" sz="900">
              <a:effectLst/>
            </a:endParaRPr>
          </a:p>
        </xdr:txBody>
      </xdr:sp>
    </xdr:grpSp>
    <xdr:clientData/>
  </xdr:twoCellAnchor>
  <xdr:twoCellAnchor editAs="absolute">
    <xdr:from>
      <xdr:col>1</xdr:col>
      <xdr:colOff>5323809</xdr:colOff>
      <xdr:row>25</xdr:row>
      <xdr:rowOff>129776</xdr:rowOff>
    </xdr:from>
    <xdr:to>
      <xdr:col>12</xdr:col>
      <xdr:colOff>133350</xdr:colOff>
      <xdr:row>57</xdr:row>
      <xdr:rowOff>28575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GrpSpPr/>
      </xdr:nvGrpSpPr>
      <xdr:grpSpPr>
        <a:xfrm>
          <a:off x="6192325" y="5553905"/>
          <a:ext cx="8255154" cy="5814541"/>
          <a:chOff x="8257509" y="6178151"/>
          <a:chExt cx="7887366" cy="6137674"/>
        </a:xfrm>
      </xdr:grpSpPr>
      <xdr:grpSp>
        <xdr:nvGrpSpPr>
          <xdr:cNvPr id="170" name="INFORMACIÓN ÚTIL" descr="INFORMACIÓN ÚTIL&#10;&#10;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GrpSpPr/>
        </xdr:nvGrpSpPr>
        <xdr:grpSpPr>
          <a:xfrm>
            <a:off x="12486606" y="6178151"/>
            <a:ext cx="3658269" cy="2584850"/>
            <a:chOff x="7053810" y="15226304"/>
            <a:chExt cx="3769369" cy="2228920"/>
          </a:xfrm>
        </xdr:grpSpPr>
        <xdr:sp macro="" textlink="">
          <xdr:nvSpPr>
            <xdr:cNvPr id="212" name="Paso" descr="INFORMACIÓN ÚTIL&#10;Las constantes son valores que especifica en las celdas o fórmulas. Mientras que =10+20 puede calcular lo mismo que =A1+B1, no se recomienda usar constantes. ¿Por qué? Porque no puede ver fácilmente la constante sin seleccionar la celda y buscarla. Eso puede dificultar cambiarla más adelante. Es mucho más fácil colocar las constantes en celdas, donde pueden ajustarse fácilmente, y hacer referencia a ellas en las fórmulas.&#10;&#10;Por ejemplo: Seleccione la celda amarilla con 12 a continuación. Verá que usamos la función SUMA con un intervalo de celdas. No escriba &quot;4&quot; o &quot;8&quot; directamente en la fórmula. &#10;">
              <a:extLst>
                <a:ext uri="{FF2B5EF4-FFF2-40B4-BE49-F238E27FC236}">
                  <a16:creationId xmlns:a16="http://schemas.microsoft.com/office/drawing/2014/main" id="{00000000-0008-0000-0100-0000D4000000}"/>
                </a:ext>
              </a:extLst>
            </xdr:cNvPr>
            <xdr:cNvSpPr txBox="1"/>
          </xdr:nvSpPr>
          <xdr:spPr>
            <a:xfrm>
              <a:off x="7377112" y="15262898"/>
              <a:ext cx="3446067" cy="21923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rtl="0">
                <a:defRPr/>
              </a:pPr>
              <a:r>
                <a:rPr lang="es" sz="1200" b="1" kern="0">
                  <a:solidFill>
                    <a:srgbClr val="ED7D31">
                      <a:lumMod val="60000"/>
                      <a:lumOff val="40000"/>
                    </a:srgbClr>
                  </a:solidFill>
                  <a:latin typeface="+mj-lt"/>
                  <a:ea typeface="Segoe UI" pitchFamily="34" charset="0"/>
                  <a:cs typeface="Segoe UI Light" panose="020B0502040204020203" pitchFamily="34" charset="0"/>
                </a:rPr>
                <a:t>INFORMACIÓN ÚTIL</a:t>
              </a:r>
              <a:endParaRPr lang="en-US" sz="1200" b="1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 Light" panose="020B0502040204020203" pitchFamily="34" charset="0"/>
              </a:endParaRPr>
            </a:p>
            <a:p>
              <a:pPr rtl="0" eaLnBrk="1" fontAlgn="auto" latinLnBrk="0" hangingPunct="1"/>
              <a:r>
                <a:rPr lang="e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Las constantes son valores que especifica en las celdas o fórmulas. Mientras que =10+20 puede calcular lo mismo que =A1+B1, no se recomienda usar constantes. ¿Por qué? Porque no puede ver fácilmente la constante sin seleccionar la celda y buscarla. Eso puede dificultar cambiarla más adelante. Es mucho más fácil colocar las constantes en celdas, donde pueden ajustarse fácilmente, y hacer referencia a ellas en las fórmulas.</a:t>
              </a:r>
            </a:p>
            <a:p>
              <a:pPr rtl="0" eaLnBrk="1" fontAlgn="auto" latinLnBrk="0" hangingPunct="1"/>
              <a:endParaRPr lang="en-U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fontAlgn="auto" latinLnBrk="0" hangingPunct="1"/>
              <a:r>
                <a:rPr lang="e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Por ejemplo: Seleccione la celda amarilla J43 con </a:t>
              </a:r>
              <a:r>
                <a:rPr lang="es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12</a:t>
              </a:r>
              <a:r>
                <a:rPr lang="e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continuación. Verá que usamos la función </a:t>
              </a:r>
              <a:r>
                <a:rPr lang="es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SUMA</a:t>
              </a:r>
              <a:r>
                <a:rPr lang="e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con un intervalo de celdas. No escriba "4" o "8" directamente en la fórmula. </a:t>
              </a:r>
            </a:p>
          </xdr:txBody>
        </xdr:sp>
        <xdr:pic>
          <xdr:nvPicPr>
            <xdr:cNvPr id="213" name="Gráfico 147" descr="Gafas">
              <a:extLst>
                <a:ext uri="{FF2B5EF4-FFF2-40B4-BE49-F238E27FC236}">
                  <a16:creationId xmlns:a16="http://schemas.microsoft.com/office/drawing/2014/main" id="{00000000-0008-0000-0100-0000D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7053810" y="15226304"/>
              <a:ext cx="323347" cy="349115"/>
            </a:xfrm>
            <a:prstGeom prst="rect">
              <a:avLst/>
            </a:prstGeom>
          </xdr:spPr>
        </xdr:pic>
      </xdr:grpSp>
      <xdr:grpSp>
        <xdr:nvGrpSpPr>
          <xdr:cNvPr id="171" name="Grupo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GrpSpPr/>
        </xdr:nvGrpSpPr>
        <xdr:grpSpPr>
          <a:xfrm>
            <a:off x="8319789" y="6402998"/>
            <a:ext cx="4083384" cy="1294710"/>
            <a:chOff x="8319789" y="6402998"/>
            <a:chExt cx="4083384" cy="1294710"/>
          </a:xfrm>
        </xdr:grpSpPr>
        <xdr:sp macro="" textlink="">
          <xdr:nvSpPr>
            <xdr:cNvPr id="198" name="txt_Fórmula" descr="=A1+B1 &#10;">
              <a:extLst>
                <a:ext uri="{FF2B5EF4-FFF2-40B4-BE49-F238E27FC236}">
                  <a16:creationId xmlns:a16="http://schemas.microsoft.com/office/drawing/2014/main" id="{00000000-0008-0000-0100-0000C6000000}"/>
                </a:ext>
              </a:extLst>
            </xdr:cNvPr>
            <xdr:cNvSpPr txBox="1"/>
          </xdr:nvSpPr>
          <xdr:spPr>
            <a:xfrm>
              <a:off x="8319789" y="6663836"/>
              <a:ext cx="2025984" cy="5029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/>
            <a:lstStyle/>
            <a:p>
              <a:pPr marL="0" marR="0" rtl="0">
                <a:spcBef>
                  <a:spcPts val="0"/>
                </a:spcBef>
                <a:spcAft>
                  <a:spcPts val="0"/>
                </a:spcAft>
              </a:pPr>
              <a:r>
                <a:rPr lang="es" sz="3600">
                  <a:solidFill>
                    <a:srgbClr val="000000"/>
                  </a:solidFill>
                  <a:effectLst/>
                  <a:latin typeface="Courier New" panose="02070309020205020404" pitchFamily="49" charset="0"/>
                  <a:ea typeface="Times New Roman" panose="02020603050405020304" pitchFamily="18" charset="0"/>
                </a:rPr>
                <a:t>=A1+B1 </a:t>
              </a:r>
              <a:endParaRPr lang="en-US" sz="36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99" name="LlaveSuperiorFórmula">
              <a:extLst>
                <a:ext uri="{FF2B5EF4-FFF2-40B4-BE49-F238E27FC236}">
                  <a16:creationId xmlns:a16="http://schemas.microsoft.com/office/drawing/2014/main" id="{00000000-0008-0000-0100-0000C7000000}"/>
                </a:ext>
              </a:extLst>
            </xdr:cNvPr>
            <xdr:cNvSpPr/>
          </xdr:nvSpPr>
          <xdr:spPr>
            <a:xfrm rot="5400000">
              <a:off x="9207945" y="6645021"/>
              <a:ext cx="121918" cy="196189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200" name="txt_GloboSuperiorFórmula" descr="Operador&#10;">
              <a:extLst>
                <a:ext uri="{FF2B5EF4-FFF2-40B4-BE49-F238E27FC236}">
                  <a16:creationId xmlns:a16="http://schemas.microsoft.com/office/drawing/2014/main" id="{00000000-0008-0000-0100-0000C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903631" y="6402998"/>
              <a:ext cx="756000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Operador</a:t>
              </a:r>
            </a:p>
          </xdr:txBody>
        </xdr:sp>
        <xdr:sp macro="" textlink="">
          <xdr:nvSpPr>
            <xdr:cNvPr id="201" name="LlaveSuperiorFórmula">
              <a:extLst>
                <a:ext uri="{FF2B5EF4-FFF2-40B4-BE49-F238E27FC236}">
                  <a16:creationId xmlns:a16="http://schemas.microsoft.com/office/drawing/2014/main" id="{00000000-0008-0000-0100-0000C9000000}"/>
                </a:ext>
              </a:extLst>
            </xdr:cNvPr>
            <xdr:cNvSpPr/>
          </xdr:nvSpPr>
          <xdr:spPr>
            <a:xfrm rot="16200000">
              <a:off x="8791631" y="6974379"/>
              <a:ext cx="121918" cy="482647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202" name="txt_GloboSuperiorFórmula" descr="Referencia de celda&#10;&#10;">
              <a:extLst>
                <a:ext uri="{FF2B5EF4-FFF2-40B4-BE49-F238E27FC236}">
                  <a16:creationId xmlns:a16="http://schemas.microsoft.com/office/drawing/2014/main" id="{00000000-0008-0000-0100-0000C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430435" y="7293605"/>
              <a:ext cx="828000" cy="40410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Referencia de celda</a:t>
              </a:r>
            </a:p>
          </xdr:txBody>
        </xdr:sp>
        <xdr:sp macro="" textlink="">
          <xdr:nvSpPr>
            <xdr:cNvPr id="203" name="LlaveSuperiorFórmula">
              <a:extLst>
                <a:ext uri="{FF2B5EF4-FFF2-40B4-BE49-F238E27FC236}">
                  <a16:creationId xmlns:a16="http://schemas.microsoft.com/office/drawing/2014/main" id="{00000000-0008-0000-0100-0000CB000000}"/>
                </a:ext>
              </a:extLst>
            </xdr:cNvPr>
            <xdr:cNvSpPr/>
          </xdr:nvSpPr>
          <xdr:spPr>
            <a:xfrm rot="16200000">
              <a:off x="9638165" y="6973189"/>
              <a:ext cx="121918" cy="485028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204" name="txt_GloboSuperiorFórmula" descr="Referencia de celda&#10;&#10;">
              <a:extLst>
                <a:ext uri="{FF2B5EF4-FFF2-40B4-BE49-F238E27FC236}">
                  <a16:creationId xmlns:a16="http://schemas.microsoft.com/office/drawing/2014/main" id="{00000000-0008-0000-0100-0000C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94829" y="7293605"/>
              <a:ext cx="828000" cy="40410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Referencia de celda</a:t>
              </a:r>
            </a:p>
          </xdr:txBody>
        </xdr:sp>
        <xdr:sp macro="" textlink="">
          <xdr:nvSpPr>
            <xdr:cNvPr id="205" name="txt_Fórmula" descr="=10*20 &#10;">
              <a:extLst>
                <a:ext uri="{FF2B5EF4-FFF2-40B4-BE49-F238E27FC236}">
                  <a16:creationId xmlns:a16="http://schemas.microsoft.com/office/drawing/2014/main" id="{00000000-0008-0000-0100-0000CD000000}"/>
                </a:ext>
              </a:extLst>
            </xdr:cNvPr>
            <xdr:cNvSpPr txBox="1"/>
          </xdr:nvSpPr>
          <xdr:spPr>
            <a:xfrm>
              <a:off x="10369130" y="6663836"/>
              <a:ext cx="2034043" cy="5029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/>
            <a:lstStyle/>
            <a:p>
              <a:pPr marL="0" marR="0" rtl="0">
                <a:spcBef>
                  <a:spcPts val="0"/>
                </a:spcBef>
                <a:spcAft>
                  <a:spcPts val="0"/>
                </a:spcAft>
              </a:pPr>
              <a:r>
                <a:rPr lang="es" sz="3600">
                  <a:solidFill>
                    <a:srgbClr val="000000"/>
                  </a:solidFill>
                  <a:effectLst/>
                  <a:latin typeface="Courier New" panose="02070309020205020404" pitchFamily="49" charset="0"/>
                  <a:ea typeface="Times New Roman" panose="02020603050405020304" pitchFamily="18" charset="0"/>
                </a:rPr>
                <a:t>=10+20 </a:t>
              </a:r>
              <a:endParaRPr lang="en-US" sz="36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206" name="LlaveSuperiorFórmula">
              <a:extLst>
                <a:ext uri="{FF2B5EF4-FFF2-40B4-BE49-F238E27FC236}">
                  <a16:creationId xmlns:a16="http://schemas.microsoft.com/office/drawing/2014/main" id="{00000000-0008-0000-0100-0000CE000000}"/>
                </a:ext>
              </a:extLst>
            </xdr:cNvPr>
            <xdr:cNvSpPr/>
          </xdr:nvSpPr>
          <xdr:spPr>
            <a:xfrm rot="5400000">
              <a:off x="11262049" y="6643189"/>
              <a:ext cx="121918" cy="199853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207" name="txt_GloboSuperiorFórmula" descr="Operador&#10;">
              <a:extLst>
                <a:ext uri="{FF2B5EF4-FFF2-40B4-BE49-F238E27FC236}">
                  <a16:creationId xmlns:a16="http://schemas.microsoft.com/office/drawing/2014/main" id="{00000000-0008-0000-0100-0000C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971993" y="6402998"/>
              <a:ext cx="756000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Operador</a:t>
              </a:r>
            </a:p>
          </xdr:txBody>
        </xdr:sp>
        <xdr:sp macro="" textlink="">
          <xdr:nvSpPr>
            <xdr:cNvPr id="208" name="LlaveSuperiorFórmula">
              <a:extLst>
                <a:ext uri="{FF2B5EF4-FFF2-40B4-BE49-F238E27FC236}">
                  <a16:creationId xmlns:a16="http://schemas.microsoft.com/office/drawing/2014/main" id="{00000000-0008-0000-0100-0000D0000000}"/>
                </a:ext>
              </a:extLst>
            </xdr:cNvPr>
            <xdr:cNvSpPr/>
          </xdr:nvSpPr>
          <xdr:spPr>
            <a:xfrm rot="16200000">
              <a:off x="10843170" y="6973646"/>
              <a:ext cx="121918" cy="484113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209" name="txt_GloboSuperiorFórmula" descr="Constante&#10;">
              <a:extLst>
                <a:ext uri="{FF2B5EF4-FFF2-40B4-BE49-F238E27FC236}">
                  <a16:creationId xmlns:a16="http://schemas.microsoft.com/office/drawing/2014/main" id="{00000000-0008-0000-0100-0000D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508583" y="7293605"/>
              <a:ext cx="792000" cy="40410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Constante</a:t>
              </a:r>
            </a:p>
          </xdr:txBody>
        </xdr:sp>
        <xdr:sp macro="" textlink="">
          <xdr:nvSpPr>
            <xdr:cNvPr id="210" name="LlaveSuperiorFórmula">
              <a:extLst>
                <a:ext uri="{FF2B5EF4-FFF2-40B4-BE49-F238E27FC236}">
                  <a16:creationId xmlns:a16="http://schemas.microsoft.com/office/drawing/2014/main" id="{00000000-0008-0000-0100-0000D2000000}"/>
                </a:ext>
              </a:extLst>
            </xdr:cNvPr>
            <xdr:cNvSpPr/>
          </xdr:nvSpPr>
          <xdr:spPr>
            <a:xfrm rot="16200000">
              <a:off x="11694101" y="6973189"/>
              <a:ext cx="121918" cy="485027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211" name="txt_GloboSuperiorFórmula" descr="Constante&#10;">
              <a:extLst>
                <a:ext uri="{FF2B5EF4-FFF2-40B4-BE49-F238E27FC236}">
                  <a16:creationId xmlns:a16="http://schemas.microsoft.com/office/drawing/2014/main" id="{00000000-0008-0000-0100-0000D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8582" y="7293605"/>
              <a:ext cx="792000" cy="40410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Constante</a:t>
              </a:r>
            </a:p>
          </xdr:txBody>
        </xdr:sp>
      </xdr:grpSp>
      <xdr:grpSp>
        <xdr:nvGrpSpPr>
          <xdr:cNvPr id="172" name="Grupo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GrpSpPr/>
        </xdr:nvGrpSpPr>
        <xdr:grpSpPr>
          <a:xfrm>
            <a:off x="8257510" y="8164390"/>
            <a:ext cx="3790306" cy="1789235"/>
            <a:chOff x="8257510" y="8164390"/>
            <a:chExt cx="3790306" cy="1789235"/>
          </a:xfrm>
        </xdr:grpSpPr>
        <xdr:sp macro="" textlink="">
          <xdr:nvSpPr>
            <xdr:cNvPr id="191" name="txt_Fórmula" descr="=SUMA(A1:A10)&#10;">
              <a:extLst>
                <a:ext uri="{FF2B5EF4-FFF2-40B4-BE49-F238E27FC236}">
                  <a16:creationId xmlns:a16="http://schemas.microsoft.com/office/drawing/2014/main" id="{00000000-0008-0000-0100-0000BF000000}"/>
                </a:ext>
              </a:extLst>
            </xdr:cNvPr>
            <xdr:cNvSpPr txBox="1"/>
          </xdr:nvSpPr>
          <xdr:spPr>
            <a:xfrm>
              <a:off x="8257510" y="8447209"/>
              <a:ext cx="3790306" cy="5029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/>
            <a:lstStyle/>
            <a:p>
              <a:pPr marL="0" marR="0" rtl="0">
                <a:spcBef>
                  <a:spcPts val="0"/>
                </a:spcBef>
                <a:spcAft>
                  <a:spcPts val="0"/>
                </a:spcAft>
              </a:pPr>
              <a:r>
                <a:rPr lang="es" sz="3600">
                  <a:solidFill>
                    <a:srgbClr val="000000"/>
                  </a:solidFill>
                  <a:effectLst/>
                  <a:latin typeface="Courier New" panose="02070309020205020404" pitchFamily="49" charset="0"/>
                  <a:ea typeface="Times New Roman" panose="02020603050405020304" pitchFamily="18" charset="0"/>
                </a:rPr>
                <a:t>=SUMA(A1:A10)</a:t>
              </a:r>
              <a:endParaRPr lang="en-US" sz="36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92" name="LlaveSuperiorFórmula">
              <a:extLst>
                <a:ext uri="{FF2B5EF4-FFF2-40B4-BE49-F238E27FC236}">
                  <a16:creationId xmlns:a16="http://schemas.microsoft.com/office/drawing/2014/main" id="{00000000-0008-0000-0100-0000C0000000}"/>
                </a:ext>
              </a:extLst>
            </xdr:cNvPr>
            <xdr:cNvSpPr/>
          </xdr:nvSpPr>
          <xdr:spPr>
            <a:xfrm rot="5400000">
              <a:off x="9019809" y="8000508"/>
              <a:ext cx="121918" cy="1008000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93" name="txt_GloboSuperiorFórmula" descr="Función&#10;">
              <a:extLst>
                <a:ext uri="{FF2B5EF4-FFF2-40B4-BE49-F238E27FC236}">
                  <a16:creationId xmlns:a16="http://schemas.microsoft.com/office/drawing/2014/main" id="{00000000-0008-0000-0100-0000C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12371" y="8164390"/>
              <a:ext cx="719605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Función</a:t>
              </a:r>
            </a:p>
          </xdr:txBody>
        </xdr:sp>
        <xdr:sp macro="" textlink="">
          <xdr:nvSpPr>
            <xdr:cNvPr id="194" name="LlaveSuperiorFórmula">
              <a:extLst>
                <a:ext uri="{FF2B5EF4-FFF2-40B4-BE49-F238E27FC236}">
                  <a16:creationId xmlns:a16="http://schemas.microsoft.com/office/drawing/2014/main" id="{00000000-0008-0000-0100-0000C2000000}"/>
                </a:ext>
              </a:extLst>
            </xdr:cNvPr>
            <xdr:cNvSpPr/>
          </xdr:nvSpPr>
          <xdr:spPr>
            <a:xfrm rot="16200000">
              <a:off x="10620219" y="8209016"/>
              <a:ext cx="121918" cy="1594774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95" name="LlaveSuperiorFórmula">
              <a:extLst>
                <a:ext uri="{FF2B5EF4-FFF2-40B4-BE49-F238E27FC236}">
                  <a16:creationId xmlns:a16="http://schemas.microsoft.com/office/drawing/2014/main" id="{00000000-0008-0000-0100-0000C3000000}"/>
                </a:ext>
              </a:extLst>
            </xdr:cNvPr>
            <xdr:cNvSpPr/>
          </xdr:nvSpPr>
          <xdr:spPr>
            <a:xfrm rot="5400000">
              <a:off x="10620219" y="7694666"/>
              <a:ext cx="121918" cy="1594774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96" name="txt_GloboSuperiorFórmula" descr="Argumento&#10;">
              <a:extLst>
                <a:ext uri="{FF2B5EF4-FFF2-40B4-BE49-F238E27FC236}">
                  <a16:creationId xmlns:a16="http://schemas.microsoft.com/office/drawing/2014/main" id="{00000000-0008-0000-0100-0000C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40991" y="8164390"/>
              <a:ext cx="1005616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Argumento</a:t>
              </a:r>
            </a:p>
          </xdr:txBody>
        </xdr:sp>
        <xdr:sp macro="" textlink="">
          <xdr:nvSpPr>
            <xdr:cNvPr id="197" name="Cuadro de texto 2" descr="Un intervalo de celdas contiene una celda inicial, dos puntos y una celda final. Al seleccionar un intervalo de celdas de una fórmula, Excel agrega automáticamente los dos puntos.&#10;">
              <a:extLst>
                <a:ext uri="{FF2B5EF4-FFF2-40B4-BE49-F238E27FC236}">
                  <a16:creationId xmlns:a16="http://schemas.microsoft.com/office/drawing/2014/main" id="{00000000-0008-0000-0100-0000C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572500" y="9112879"/>
              <a:ext cx="3250381" cy="840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t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Un intervalo de celdas contiene una celda inicial, </a:t>
              </a:r>
              <a:r>
                <a:rPr lang="es" sz="1100" baseline="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dos puntos y una celda final. Al seleccionar un intervalo de celdas de una fórmula, Excel agrega automáticamente los dos puntos.</a:t>
              </a:r>
              <a:endParaRPr lang="en-US" sz="1100">
                <a:effectLst/>
                <a:latin typeface="+mn-lt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marL="0" marR="0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 </a:t>
              </a:r>
            </a:p>
          </xdr:txBody>
        </xdr:sp>
      </xdr:grpSp>
      <xdr:grpSp>
        <xdr:nvGrpSpPr>
          <xdr:cNvPr id="173" name="Grupo 172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GrpSpPr/>
        </xdr:nvGrpSpPr>
        <xdr:grpSpPr>
          <a:xfrm>
            <a:off x="8257509" y="10174165"/>
            <a:ext cx="7077741" cy="2141660"/>
            <a:chOff x="8257509" y="10174165"/>
            <a:chExt cx="7077741" cy="2141660"/>
          </a:xfrm>
        </xdr:grpSpPr>
        <xdr:sp macro="" textlink="">
          <xdr:nvSpPr>
            <xdr:cNvPr id="174" name="txt_Fórmula" descr="=SUMA(A1:A10,C1:C10)&#10;">
              <a:extLst>
                <a:ext uri="{FF2B5EF4-FFF2-40B4-BE49-F238E27FC236}">
                  <a16:creationId xmlns:a16="http://schemas.microsoft.com/office/drawing/2014/main" id="{00000000-0008-0000-0100-0000AE000000}"/>
                </a:ext>
              </a:extLst>
            </xdr:cNvPr>
            <xdr:cNvSpPr txBox="1"/>
          </xdr:nvSpPr>
          <xdr:spPr>
            <a:xfrm>
              <a:off x="8257509" y="10790359"/>
              <a:ext cx="5887115" cy="5029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/>
            <a:lstStyle/>
            <a:p>
              <a:pPr marL="0" marR="0" rtl="0">
                <a:spcBef>
                  <a:spcPts val="0"/>
                </a:spcBef>
                <a:spcAft>
                  <a:spcPts val="0"/>
                </a:spcAft>
              </a:pPr>
              <a:r>
                <a:rPr lang="es" sz="3600">
                  <a:solidFill>
                    <a:srgbClr val="000000"/>
                  </a:solidFill>
                  <a:effectLst/>
                  <a:latin typeface="Courier New" panose="02070309020205020404" pitchFamily="49" charset="0"/>
                  <a:ea typeface="Times New Roman" panose="02020603050405020304" pitchFamily="18" charset="0"/>
                </a:rPr>
                <a:t>=SUMA(A1:A10;C1:C10)</a:t>
              </a:r>
              <a:endParaRPr lang="en-US" sz="36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75" name="LlaveSuperiorFórmula">
              <a:extLst>
                <a:ext uri="{FF2B5EF4-FFF2-40B4-BE49-F238E27FC236}">
                  <a16:creationId xmlns:a16="http://schemas.microsoft.com/office/drawing/2014/main" id="{00000000-0008-0000-0100-0000AF000000}"/>
                </a:ext>
              </a:extLst>
            </xdr:cNvPr>
            <xdr:cNvSpPr/>
          </xdr:nvSpPr>
          <xdr:spPr>
            <a:xfrm rot="5400000">
              <a:off x="9029334" y="10343658"/>
              <a:ext cx="121918" cy="1008000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76" name="txt_GloboSuperiorFórmula" descr="Función&#10;">
              <a:extLst>
                <a:ext uri="{FF2B5EF4-FFF2-40B4-BE49-F238E27FC236}">
                  <a16:creationId xmlns:a16="http://schemas.microsoft.com/office/drawing/2014/main" id="{00000000-0008-0000-0100-0000B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12371" y="10507540"/>
              <a:ext cx="719605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Función</a:t>
              </a:r>
            </a:p>
          </xdr:txBody>
        </xdr:sp>
        <xdr:sp macro="" textlink="">
          <xdr:nvSpPr>
            <xdr:cNvPr id="177" name="LlaveSuperiorFórmula">
              <a:extLst>
                <a:ext uri="{FF2B5EF4-FFF2-40B4-BE49-F238E27FC236}">
                  <a16:creationId xmlns:a16="http://schemas.microsoft.com/office/drawing/2014/main" id="{00000000-0008-0000-0100-0000B1000000}"/>
                </a:ext>
              </a:extLst>
            </xdr:cNvPr>
            <xdr:cNvSpPr/>
          </xdr:nvSpPr>
          <xdr:spPr>
            <a:xfrm rot="5400000">
              <a:off x="10648794" y="10037816"/>
              <a:ext cx="121918" cy="1594774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78" name="txt_GloboSuperiorFórmula" descr="Argumento&#10;">
              <a:extLst>
                <a:ext uri="{FF2B5EF4-FFF2-40B4-BE49-F238E27FC236}">
                  <a16:creationId xmlns:a16="http://schemas.microsoft.com/office/drawing/2014/main" id="{00000000-0008-0000-0100-0000B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902866" y="10507540"/>
              <a:ext cx="1005616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Argumento</a:t>
              </a:r>
            </a:p>
          </xdr:txBody>
        </xdr:sp>
        <xdr:sp macro="" textlink="">
          <xdr:nvSpPr>
            <xdr:cNvPr id="179" name="LlaveSuperiorFórmula">
              <a:extLst>
                <a:ext uri="{FF2B5EF4-FFF2-40B4-BE49-F238E27FC236}">
                  <a16:creationId xmlns:a16="http://schemas.microsoft.com/office/drawing/2014/main" id="{00000000-0008-0000-0100-0000B3000000}"/>
                </a:ext>
              </a:extLst>
            </xdr:cNvPr>
            <xdr:cNvSpPr/>
          </xdr:nvSpPr>
          <xdr:spPr>
            <a:xfrm rot="5400000">
              <a:off x="12572844" y="10037816"/>
              <a:ext cx="121918" cy="1594774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80" name="txt_GloboSuperiorFórmula" descr="Argumento&#10;">
              <a:extLst>
                <a:ext uri="{FF2B5EF4-FFF2-40B4-BE49-F238E27FC236}">
                  <a16:creationId xmlns:a16="http://schemas.microsoft.com/office/drawing/2014/main" id="{00000000-0008-0000-0100-0000B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826916" y="10507540"/>
              <a:ext cx="1005616" cy="2571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Argumento</a:t>
              </a:r>
            </a:p>
          </xdr:txBody>
        </xdr:sp>
        <xdr:sp macro="" textlink="">
          <xdr:nvSpPr>
            <xdr:cNvPr id="181" name="LlaveSuperiorFórmula">
              <a:extLst>
                <a:ext uri="{FF2B5EF4-FFF2-40B4-BE49-F238E27FC236}">
                  <a16:creationId xmlns:a16="http://schemas.microsoft.com/office/drawing/2014/main" id="{00000000-0008-0000-0100-0000B5000000}"/>
                </a:ext>
              </a:extLst>
            </xdr:cNvPr>
            <xdr:cNvSpPr/>
          </xdr:nvSpPr>
          <xdr:spPr>
            <a:xfrm rot="16200000">
              <a:off x="10648794" y="10561691"/>
              <a:ext cx="121918" cy="1594774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82" name="Cuadro de texto 2" descr="Un intervalo de celdas">
              <a:extLst>
                <a:ext uri="{FF2B5EF4-FFF2-40B4-BE49-F238E27FC236}">
                  <a16:creationId xmlns:a16="http://schemas.microsoft.com/office/drawing/2014/main" id="{00000000-0008-0000-0100-0000B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994665" y="11465555"/>
              <a:ext cx="1482960" cy="278770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t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Un intervalo de celdas</a:t>
              </a:r>
            </a:p>
            <a:p>
              <a:pPr marL="0" marR="0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 </a:t>
              </a:r>
            </a:p>
          </xdr:txBody>
        </xdr:sp>
        <xdr:sp macro="" textlink="">
          <xdr:nvSpPr>
            <xdr:cNvPr id="183" name="LlaveSuperiorFórmula">
              <a:extLst>
                <a:ext uri="{FF2B5EF4-FFF2-40B4-BE49-F238E27FC236}">
                  <a16:creationId xmlns:a16="http://schemas.microsoft.com/office/drawing/2014/main" id="{00000000-0008-0000-0100-0000B7000000}"/>
                </a:ext>
              </a:extLst>
            </xdr:cNvPr>
            <xdr:cNvSpPr/>
          </xdr:nvSpPr>
          <xdr:spPr>
            <a:xfrm rot="16200000">
              <a:off x="12582369" y="10561691"/>
              <a:ext cx="121918" cy="1594774"/>
            </a:xfrm>
            <a:prstGeom prst="leftBrac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84" name="Cuadro de texto 2" descr="Otro intervalo de celdas">
              <a:extLst>
                <a:ext uri="{FF2B5EF4-FFF2-40B4-BE49-F238E27FC236}">
                  <a16:creationId xmlns:a16="http://schemas.microsoft.com/office/drawing/2014/main" id="{00000000-0008-0000-0100-0000B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783009" y="11465555"/>
              <a:ext cx="1773422" cy="278770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t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Otro intervalo de celdas</a:t>
              </a:r>
            </a:p>
            <a:p>
              <a:pPr marL="0" marR="0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 </a:t>
              </a:r>
            </a:p>
          </xdr:txBody>
        </xdr:sp>
        <xdr:sp macro="" textlink="">
          <xdr:nvSpPr>
            <xdr:cNvPr id="185" name="txt_GloboSuperiorFórmula" descr="Sume lo siguiente:&#10;">
              <a:extLst>
                <a:ext uri="{FF2B5EF4-FFF2-40B4-BE49-F238E27FC236}">
                  <a16:creationId xmlns:a16="http://schemas.microsoft.com/office/drawing/2014/main" id="{00000000-0008-0000-0100-0000B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607841" y="10174165"/>
              <a:ext cx="2729639" cy="25717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-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El punto y coma separa varios argumentos</a:t>
              </a:r>
            </a:p>
          </xdr:txBody>
        </xdr:sp>
        <xdr:sp macro="" textlink="">
          <xdr:nvSpPr>
            <xdr:cNvPr id="186" name="Flecha de crédito adicional" descr="Flecha">
              <a:extLst>
                <a:ext uri="{FF2B5EF4-FFF2-40B4-BE49-F238E27FC236}">
                  <a16:creationId xmlns:a16="http://schemas.microsoft.com/office/drawing/2014/main" id="{00000000-0008-0000-0100-0000BA000000}"/>
                </a:ext>
              </a:extLst>
            </xdr:cNvPr>
            <xdr:cNvSpPr/>
          </xdr:nvSpPr>
          <xdr:spPr>
            <a:xfrm rot="16200000">
              <a:off x="11396671" y="10598911"/>
              <a:ext cx="1009649" cy="462029"/>
            </a:xfrm>
            <a:prstGeom prst="arc">
              <a:avLst>
                <a:gd name="adj1" fmla="val 15011426"/>
                <a:gd name="adj2" fmla="val 20561228"/>
              </a:avLst>
            </a:prstGeom>
            <a:ln w="19050">
              <a:solidFill>
                <a:schemeClr val="accent2">
                  <a:lumMod val="60000"/>
                  <a:lumOff val="40000"/>
                </a:schemeClr>
              </a:solidFill>
              <a:head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 rtl="0"/>
              <a:endParaRPr lang="en-US" sz="1100"/>
            </a:p>
          </xdr:txBody>
        </xdr:sp>
        <xdr:sp macro="" textlink="">
          <xdr:nvSpPr>
            <xdr:cNvPr id="187" name="txt_GloboSuperiorFórmula" descr="Paréntesis de apertura&#10;&#10;">
              <a:extLst>
                <a:ext uri="{FF2B5EF4-FFF2-40B4-BE49-F238E27FC236}">
                  <a16:creationId xmlns:a16="http://schemas.microsoft.com/office/drawing/2014/main" id="{00000000-0008-0000-0100-0000B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12241" y="11860090"/>
              <a:ext cx="2729639" cy="25717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Paréntesis de apertura</a:t>
              </a:r>
            </a:p>
          </xdr:txBody>
        </xdr:sp>
        <xdr:sp macro="" textlink="">
          <xdr:nvSpPr>
            <xdr:cNvPr id="188" name="Flecha de crédito adicional" descr="Flecha">
              <a:extLst>
                <a:ext uri="{FF2B5EF4-FFF2-40B4-BE49-F238E27FC236}">
                  <a16:creationId xmlns:a16="http://schemas.microsoft.com/office/drawing/2014/main" id="{00000000-0008-0000-0100-0000BC000000}"/>
                </a:ext>
              </a:extLst>
            </xdr:cNvPr>
            <xdr:cNvSpPr/>
          </xdr:nvSpPr>
          <xdr:spPr>
            <a:xfrm rot="16200000" flipH="1">
              <a:off x="9548821" y="11189461"/>
              <a:ext cx="1009649" cy="462029"/>
            </a:xfrm>
            <a:prstGeom prst="arc">
              <a:avLst>
                <a:gd name="adj1" fmla="val 15011426"/>
                <a:gd name="adj2" fmla="val 20561228"/>
              </a:avLst>
            </a:prstGeom>
            <a:ln w="19050">
              <a:solidFill>
                <a:schemeClr val="accent2">
                  <a:lumMod val="60000"/>
                  <a:lumOff val="40000"/>
                </a:schemeClr>
              </a:solidFill>
              <a:head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 rtl="0"/>
              <a:endParaRPr lang="en-US" sz="1100"/>
            </a:p>
          </xdr:txBody>
        </xdr:sp>
        <xdr:sp macro="" textlink="">
          <xdr:nvSpPr>
            <xdr:cNvPr id="189" name="txt_GloboSuperiorFórmula" descr="Paréntesis de cierre. Excel normalmente lo agregará automáticamente cuando presione ENTRAR.&#10;&#10;">
              <a:extLst>
                <a:ext uri="{FF2B5EF4-FFF2-40B4-BE49-F238E27FC236}">
                  <a16:creationId xmlns:a16="http://schemas.microsoft.com/office/drawing/2014/main" id="{00000000-0008-0000-0100-0000B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172172" y="11860090"/>
              <a:ext cx="3163078" cy="45573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91440" tIns="45720" rIns="91440" bIns="45720" rtlCol="0" anchor="ctr" anchorCtr="0">
              <a:noAutofit/>
            </a:bodyPr>
            <a:lstStyle/>
            <a:p>
              <a:pPr marL="0" marR="0" algn="ctr" rtl="0">
                <a:lnSpc>
                  <a:spcPct val="107000"/>
                </a:lnSpc>
                <a:spcBef>
                  <a:spcPts val="0"/>
                </a:spcBef>
                <a:spcAft>
                  <a:spcPts val="800"/>
                </a:spcAft>
              </a:pPr>
              <a:r>
                <a:rPr lang="es" sz="1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Paréntesis de cierre. Excel normalmente lo agregará automáticamente cuando</a:t>
              </a:r>
              <a:r>
                <a:rPr lang="es" sz="1100" baseline="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 presione </a:t>
              </a:r>
              <a:r>
                <a:rPr lang="es" sz="1100" b="1" baseline="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ENTRAR</a:t>
              </a:r>
              <a:r>
                <a:rPr lang="es" sz="1100" baseline="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.</a:t>
              </a:r>
              <a:endParaRPr lang="en-US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90" name="Flecha de crédito adicional" descr="Flecha">
              <a:extLst>
                <a:ext uri="{FF2B5EF4-FFF2-40B4-BE49-F238E27FC236}">
                  <a16:creationId xmlns:a16="http://schemas.microsoft.com/office/drawing/2014/main" id="{00000000-0008-0000-0100-0000BE000000}"/>
                </a:ext>
              </a:extLst>
            </xdr:cNvPr>
            <xdr:cNvSpPr/>
          </xdr:nvSpPr>
          <xdr:spPr>
            <a:xfrm rot="3731154">
              <a:off x="12765701" y="11212042"/>
              <a:ext cx="1340711" cy="462029"/>
            </a:xfrm>
            <a:prstGeom prst="arc">
              <a:avLst>
                <a:gd name="adj1" fmla="val 15011426"/>
                <a:gd name="adj2" fmla="val 20616247"/>
              </a:avLst>
            </a:prstGeom>
            <a:ln w="19050">
              <a:solidFill>
                <a:schemeClr val="accent2">
                  <a:lumMod val="60000"/>
                  <a:lumOff val="40000"/>
                </a:schemeClr>
              </a:solidFill>
              <a:head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 rtl="0"/>
              <a:endParaRPr lang="en-US" sz="1100"/>
            </a:p>
          </xdr:txBody>
        </xdr:sp>
      </xdr:grpSp>
    </xdr:grpSp>
    <xdr:clientData/>
  </xdr:twoCellAnchor>
  <xdr:twoCellAnchor>
    <xdr:from>
      <xdr:col>2</xdr:col>
      <xdr:colOff>23813</xdr:colOff>
      <xdr:row>4</xdr:row>
      <xdr:rowOff>100011</xdr:rowOff>
    </xdr:from>
    <xdr:to>
      <xdr:col>2</xdr:col>
      <xdr:colOff>1181100</xdr:colOff>
      <xdr:row>7</xdr:row>
      <xdr:rowOff>123824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6200000">
          <a:off x="6667500" y="1209674"/>
          <a:ext cx="614363" cy="1157287"/>
        </a:xfrm>
        <a:prstGeom prst="leftBrac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38098</xdr:rowOff>
    </xdr:from>
    <xdr:to>
      <xdr:col>8</xdr:col>
      <xdr:colOff>708660</xdr:colOff>
      <xdr:row>87</xdr:row>
      <xdr:rowOff>152400</xdr:rowOff>
    </xdr:to>
    <xdr:sp macro="" textlink="">
      <xdr:nvSpPr>
        <xdr:cNvPr id="17" name="Fondo" descr="Fondo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92480" y="952498"/>
          <a:ext cx="6256020" cy="14317982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 editAs="absolute">
    <xdr:from>
      <xdr:col>1</xdr:col>
      <xdr:colOff>185642</xdr:colOff>
      <xdr:row>2</xdr:row>
      <xdr:rowOff>119511</xdr:rowOff>
    </xdr:from>
    <xdr:to>
      <xdr:col>8</xdr:col>
      <xdr:colOff>102388</xdr:colOff>
      <xdr:row>7</xdr:row>
      <xdr:rowOff>19051</xdr:rowOff>
    </xdr:to>
    <xdr:sp macro="" textlink="">
      <xdr:nvSpPr>
        <xdr:cNvPr id="18" name="Paso" descr="Conceptos básicos: realizar operaciones matemáticas con Excel&#10;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947642" y="500511"/>
          <a:ext cx="5250746" cy="85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Conceptos básicos: </a:t>
          </a:r>
          <a:r>
            <a:rPr lang="es-PE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Operadores de cálculo y prioridad en Excel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105632</xdr:colOff>
      <xdr:row>85</xdr:row>
      <xdr:rowOff>87906</xdr:rowOff>
    </xdr:from>
    <xdr:to>
      <xdr:col>8</xdr:col>
      <xdr:colOff>19183</xdr:colOff>
      <xdr:row>85</xdr:row>
      <xdr:rowOff>87906</xdr:rowOff>
    </xdr:to>
    <xdr:cxnSp macro="">
      <xdr:nvCxnSpPr>
        <xdr:cNvPr id="20" name="Línea inferior" descr="Línea decorativa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cxnSpLocks/>
        </xdr:cNvCxnSpPr>
      </xdr:nvCxnSpPr>
      <xdr:spPr>
        <a:xfrm>
          <a:off x="898112" y="14840226"/>
          <a:ext cx="546091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12884</xdr:colOff>
      <xdr:row>83</xdr:row>
      <xdr:rowOff>26670</xdr:rowOff>
    </xdr:from>
    <xdr:to>
      <xdr:col>7</xdr:col>
      <xdr:colOff>652935</xdr:colOff>
      <xdr:row>85</xdr:row>
      <xdr:rowOff>5670</xdr:rowOff>
    </xdr:to>
    <xdr:sp macro="" textlink="">
      <xdr:nvSpPr>
        <xdr:cNvPr id="21" name="Botón Siguiente" descr="Botón Siguiente paso, con un hipervínculo a la siguiente hoja">
          <a:hlinkClick xmlns:r="http://schemas.openxmlformats.org/officeDocument/2006/relationships" r:id="rId1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767764" y="14413230"/>
          <a:ext cx="1432531" cy="34476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paso</a:t>
          </a:r>
        </a:p>
      </xdr:txBody>
    </xdr:sp>
    <xdr:clientData/>
  </xdr:twoCellAnchor>
  <xdr:twoCellAnchor editAs="absolute">
    <xdr:from>
      <xdr:col>1</xdr:col>
      <xdr:colOff>185642</xdr:colOff>
      <xdr:row>12</xdr:row>
      <xdr:rowOff>167123</xdr:rowOff>
    </xdr:from>
    <xdr:to>
      <xdr:col>8</xdr:col>
      <xdr:colOff>99193</xdr:colOff>
      <xdr:row>12</xdr:row>
      <xdr:rowOff>167123</xdr:rowOff>
    </xdr:to>
    <xdr:cxnSp macro="">
      <xdr:nvCxnSpPr>
        <xdr:cNvPr id="22" name="Línea superior" descr="Línea decorativa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cxnSpLocks/>
        </xdr:cNvCxnSpPr>
      </xdr:nvCxnSpPr>
      <xdr:spPr>
        <a:xfrm>
          <a:off x="947642" y="2453123"/>
          <a:ext cx="524755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119146</xdr:colOff>
      <xdr:row>6</xdr:row>
      <xdr:rowOff>140239</xdr:rowOff>
    </xdr:from>
    <xdr:to>
      <xdr:col>8</xdr:col>
      <xdr:colOff>104775</xdr:colOff>
      <xdr:row>12</xdr:row>
      <xdr:rowOff>47624</xdr:rowOff>
    </xdr:to>
    <xdr:sp macro="" textlink="">
      <xdr:nvSpPr>
        <xdr:cNvPr id="4" name="txt_Paso" descr="Puede sumar, restar, multiplicar y dividir en Excel sin tener que usar las funciones integradas. Solo tiene que usar los operadores +, -, *, /. Todas las fórmulas empiezan con un signo igual (=).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81146" y="1283239"/>
          <a:ext cx="5319629" cy="1050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Operadores especifican el tipo de cálculo que desea llevar a cabo en elementos de una fórmula, como suma, resta, multiplicación o división. En este artículo, aprenderá el orden predeterminado en el que operadores actúan sobre los elementos en un cálculo. También aprenderá cómo cambiar este orden utilizando paréntesis</a:t>
          </a:r>
          <a:r>
            <a: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220449</xdr:colOff>
      <xdr:row>13</xdr:row>
      <xdr:rowOff>63502</xdr:rowOff>
    </xdr:from>
    <xdr:to>
      <xdr:col>8</xdr:col>
      <xdr:colOff>140769</xdr:colOff>
      <xdr:row>16</xdr:row>
      <xdr:rowOff>90693</xdr:rowOff>
    </xdr:to>
    <xdr:grpSp>
      <xdr:nvGrpSpPr>
        <xdr:cNvPr id="5" name="grp_Pas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013679" y="2418207"/>
          <a:ext cx="5472926" cy="570584"/>
          <a:chOff x="609600" y="8170950"/>
          <a:chExt cx="5186234" cy="596207"/>
        </a:xfrm>
      </xdr:grpSpPr>
      <xdr:sp macro="" textlink="">
        <xdr:nvSpPr>
          <xdr:cNvPr id="15" name="txt_Paso" descr="Para sumar, seleccione la celda F3, escriba =C3+C4 y, después, presione ENTRAR. &#10;">
            <a:hlinkClick xmlns:r="http://schemas.openxmlformats.org/officeDocument/2006/relationships" r:id="rId2" tooltip="Ir a Operadores aritmeticos"/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17295" y="8212908"/>
            <a:ext cx="4778539" cy="554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E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Operadores aritméticos</a:t>
            </a:r>
          </a:p>
        </xdr:txBody>
      </xdr:sp>
      <xdr:sp macro="" textlink="">
        <xdr:nvSpPr>
          <xdr:cNvPr id="16" name="shp_Paso" descr="2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609600" y="8170950"/>
            <a:ext cx="372191" cy="366863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absolute">
    <xdr:from>
      <xdr:col>1</xdr:col>
      <xdr:colOff>220449</xdr:colOff>
      <xdr:row>16</xdr:row>
      <xdr:rowOff>161014</xdr:rowOff>
    </xdr:from>
    <xdr:to>
      <xdr:col>8</xdr:col>
      <xdr:colOff>140769</xdr:colOff>
      <xdr:row>19</xdr:row>
      <xdr:rowOff>180585</xdr:rowOff>
    </xdr:to>
    <xdr:grpSp>
      <xdr:nvGrpSpPr>
        <xdr:cNvPr id="6" name="grp_Pas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13679" y="3059112"/>
          <a:ext cx="5472926" cy="562965"/>
          <a:chOff x="609600" y="8294261"/>
          <a:chExt cx="5186234" cy="596207"/>
        </a:xfrm>
      </xdr:grpSpPr>
      <xdr:sp macro="" textlink="">
        <xdr:nvSpPr>
          <xdr:cNvPr id="13" name="txt_Paso" descr="Para restar, seleccione la celda F4, escriba =C3-C4 y, después, presione ENTRAR. &#10;">
            <a:hlinkClick xmlns:r="http://schemas.openxmlformats.org/officeDocument/2006/relationships" r:id="rId3" tooltip="Ir a operadores de comparación"/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17295" y="8336219"/>
            <a:ext cx="4778539" cy="554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E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Operadores de comparación</a:t>
            </a:r>
          </a:p>
        </xdr:txBody>
      </xdr:sp>
      <xdr:sp macro="" textlink="">
        <xdr:nvSpPr>
          <xdr:cNvPr id="14" name="shp_Paso" descr="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609600" y="8294261"/>
            <a:ext cx="372191" cy="366863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absolute">
    <xdr:from>
      <xdr:col>1</xdr:col>
      <xdr:colOff>210861</xdr:colOff>
      <xdr:row>20</xdr:row>
      <xdr:rowOff>87157</xdr:rowOff>
    </xdr:from>
    <xdr:to>
      <xdr:col>8</xdr:col>
      <xdr:colOff>131181</xdr:colOff>
      <xdr:row>23</xdr:row>
      <xdr:rowOff>114347</xdr:rowOff>
    </xdr:to>
    <xdr:grpSp>
      <xdr:nvGrpSpPr>
        <xdr:cNvPr id="7" name="grp_Pas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1004091" y="3709780"/>
          <a:ext cx="5472926" cy="570583"/>
          <a:chOff x="609600" y="8417573"/>
          <a:chExt cx="5186234" cy="596206"/>
        </a:xfrm>
      </xdr:grpSpPr>
      <xdr:sp macro="" textlink="">
        <xdr:nvSpPr>
          <xdr:cNvPr id="11" name="txt_Paso" descr="Para multiplicar, seleccione la celda F5, escriba =C3*C4 y, después, presione ENTRAR.&#10;">
            <a:hlinkClick xmlns:r="http://schemas.openxmlformats.org/officeDocument/2006/relationships" r:id="rId4" tooltip="Ir a operador de concatenación de texto"/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1017295" y="8459530"/>
            <a:ext cx="4778539" cy="554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E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Operador de concatenación de texto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shp_Paso" descr="4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609600" y="8417573"/>
            <a:ext cx="372191" cy="366863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absolute">
    <xdr:from>
      <xdr:col>1</xdr:col>
      <xdr:colOff>220449</xdr:colOff>
      <xdr:row>24</xdr:row>
      <xdr:rowOff>1868</xdr:rowOff>
    </xdr:from>
    <xdr:to>
      <xdr:col>8</xdr:col>
      <xdr:colOff>140769</xdr:colOff>
      <xdr:row>27</xdr:row>
      <xdr:rowOff>21438</xdr:rowOff>
    </xdr:to>
    <xdr:grpSp>
      <xdr:nvGrpSpPr>
        <xdr:cNvPr id="8" name="grp_Pas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013679" y="4349016"/>
          <a:ext cx="5472926" cy="562963"/>
          <a:chOff x="609600" y="8521913"/>
          <a:chExt cx="5186234" cy="596206"/>
        </a:xfrm>
      </xdr:grpSpPr>
      <xdr:sp macro="" textlink="">
        <xdr:nvSpPr>
          <xdr:cNvPr id="9" name="txt_Paso" descr="Para dividir, seleccione la celda F6, escriba =C3/C4 y, después, presione ENTRAR.&#10;">
            <a:hlinkClick xmlns:r="http://schemas.openxmlformats.org/officeDocument/2006/relationships" r:id="rId5" tooltip="Ir a operadores de referencia"/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1017295" y="8563870"/>
            <a:ext cx="4778539" cy="554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E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Operadores de referencia</a:t>
            </a:r>
          </a:p>
        </xdr:txBody>
      </xdr:sp>
      <xdr:sp macro="" textlink="">
        <xdr:nvSpPr>
          <xdr:cNvPr id="10" name="shp_Paso" descr="5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609600" y="8521913"/>
            <a:ext cx="372191" cy="366863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absolute">
    <xdr:from>
      <xdr:col>1</xdr:col>
      <xdr:colOff>195167</xdr:colOff>
      <xdr:row>26</xdr:row>
      <xdr:rowOff>109973</xdr:rowOff>
    </xdr:from>
    <xdr:to>
      <xdr:col>8</xdr:col>
      <xdr:colOff>108718</xdr:colOff>
      <xdr:row>26</xdr:row>
      <xdr:rowOff>109973</xdr:rowOff>
    </xdr:to>
    <xdr:cxnSp macro="">
      <xdr:nvCxnSpPr>
        <xdr:cNvPr id="25" name="Línea superior" descr="Línea decorativa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cxnSpLocks/>
        </xdr:cNvCxnSpPr>
      </xdr:nvCxnSpPr>
      <xdr:spPr>
        <a:xfrm>
          <a:off x="957167" y="5062973"/>
          <a:ext cx="524755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180975</xdr:colOff>
      <xdr:row>29</xdr:row>
      <xdr:rowOff>181131</xdr:rowOff>
    </xdr:from>
    <xdr:to>
      <xdr:col>5</xdr:col>
      <xdr:colOff>457200</xdr:colOff>
      <xdr:row>44</xdr:row>
      <xdr:rowOff>114300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" y="5486400"/>
          <a:ext cx="3446145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180975</xdr:colOff>
      <xdr:row>28</xdr:row>
      <xdr:rowOff>104775</xdr:rowOff>
    </xdr:from>
    <xdr:to>
      <xdr:col>5</xdr:col>
      <xdr:colOff>447675</xdr:colOff>
      <xdr:row>30</xdr:row>
      <xdr:rowOff>123825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973455" y="5225415"/>
          <a:ext cx="3436620" cy="38481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Operadores aritméticos</a:t>
          </a:r>
          <a:endParaRPr lang="es-PE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1</xdr:col>
      <xdr:colOff>180975</xdr:colOff>
      <xdr:row>45</xdr:row>
      <xdr:rowOff>137159</xdr:rowOff>
    </xdr:from>
    <xdr:to>
      <xdr:col>5</xdr:col>
      <xdr:colOff>447675</xdr:colOff>
      <xdr:row>47</xdr:row>
      <xdr:rowOff>165734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973455" y="7772399"/>
          <a:ext cx="3436620" cy="3943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Operadores de comparación</a:t>
          </a:r>
          <a:endParaRPr lang="es-PE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1</xdr:col>
      <xdr:colOff>180975</xdr:colOff>
      <xdr:row>47</xdr:row>
      <xdr:rowOff>95250</xdr:rowOff>
    </xdr:from>
    <xdr:to>
      <xdr:col>6</xdr:col>
      <xdr:colOff>1905</xdr:colOff>
      <xdr:row>60</xdr:row>
      <xdr:rowOff>51435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" y="8096250"/>
          <a:ext cx="3762375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180975</xdr:colOff>
      <xdr:row>60</xdr:row>
      <xdr:rowOff>169545</xdr:rowOff>
    </xdr:from>
    <xdr:to>
      <xdr:col>5</xdr:col>
      <xdr:colOff>447675</xdr:colOff>
      <xdr:row>63</xdr:row>
      <xdr:rowOff>5715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973455" y="10052685"/>
          <a:ext cx="3436620" cy="384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Operador de concatenación de texto</a:t>
          </a:r>
        </a:p>
      </xdr:txBody>
    </xdr:sp>
    <xdr:clientData/>
  </xdr:twoCellAnchor>
  <xdr:twoCellAnchor editAs="absolute">
    <xdr:from>
      <xdr:col>1</xdr:col>
      <xdr:colOff>180975</xdr:colOff>
      <xdr:row>62</xdr:row>
      <xdr:rowOff>91440</xdr:rowOff>
    </xdr:from>
    <xdr:to>
      <xdr:col>7</xdr:col>
      <xdr:colOff>333375</xdr:colOff>
      <xdr:row>65</xdr:row>
      <xdr:rowOff>272415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" y="10340340"/>
          <a:ext cx="4907280" cy="729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180975</xdr:colOff>
      <xdr:row>71</xdr:row>
      <xdr:rowOff>78105</xdr:rowOff>
    </xdr:from>
    <xdr:to>
      <xdr:col>7</xdr:col>
      <xdr:colOff>725805</xdr:colOff>
      <xdr:row>82</xdr:row>
      <xdr:rowOff>156210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" y="12270105"/>
          <a:ext cx="5299710" cy="2089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180975</xdr:colOff>
      <xdr:row>69</xdr:row>
      <xdr:rowOff>74295</xdr:rowOff>
    </xdr:from>
    <xdr:to>
      <xdr:col>5</xdr:col>
      <xdr:colOff>447675</xdr:colOff>
      <xdr:row>71</xdr:row>
      <xdr:rowOff>93345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973455" y="11900535"/>
          <a:ext cx="3436620" cy="384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Operador de referencia</a:t>
          </a:r>
        </a:p>
      </xdr:txBody>
    </xdr:sp>
    <xdr:clientData/>
  </xdr:twoCellAnchor>
  <xdr:twoCellAnchor editAs="absolute">
    <xdr:from>
      <xdr:col>1</xdr:col>
      <xdr:colOff>144780</xdr:colOff>
      <xdr:row>83</xdr:row>
      <xdr:rowOff>76200</xdr:rowOff>
    </xdr:from>
    <xdr:to>
      <xdr:col>2</xdr:col>
      <xdr:colOff>648425</xdr:colOff>
      <xdr:row>85</xdr:row>
      <xdr:rowOff>30649</xdr:rowOff>
    </xdr:to>
    <xdr:sp macro="" textlink="">
      <xdr:nvSpPr>
        <xdr:cNvPr id="32" name="BotónAnterior" descr="Volver a la hoja anterior">
          <a:hlinkClick xmlns:r="http://schemas.openxmlformats.org/officeDocument/2006/relationships" r:id="rId10" tooltip="Haga clic aquí para volver a la hoja anterior.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flipH="1">
          <a:off x="937260" y="14462760"/>
          <a:ext cx="1296125" cy="32020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  <xdr:twoCellAnchor>
    <xdr:from>
      <xdr:col>5</xdr:col>
      <xdr:colOff>594359</xdr:colOff>
      <xdr:row>42</xdr:row>
      <xdr:rowOff>15240</xdr:rowOff>
    </xdr:from>
    <xdr:to>
      <xdr:col>6</xdr:col>
      <xdr:colOff>447674</xdr:colOff>
      <xdr:row>44</xdr:row>
      <xdr:rowOff>114300</xdr:rowOff>
    </xdr:to>
    <xdr:sp macro="" textlink="">
      <xdr:nvSpPr>
        <xdr:cNvPr id="3" name="Llamada de flecha hacia arriba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404359" y="7492365"/>
          <a:ext cx="615315" cy="375285"/>
        </a:xfrm>
        <a:prstGeom prst="upArrowCallou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>
              <a:solidFill>
                <a:srgbClr val="217346"/>
              </a:solidFill>
            </a:rPr>
            <a:t>Arriba</a:t>
          </a:r>
        </a:p>
      </xdr:txBody>
    </xdr:sp>
    <xdr:clientData/>
  </xdr:twoCellAnchor>
  <xdr:twoCellAnchor>
    <xdr:from>
      <xdr:col>8</xdr:col>
      <xdr:colOff>114300</xdr:colOff>
      <xdr:row>80</xdr:row>
      <xdr:rowOff>22860</xdr:rowOff>
    </xdr:from>
    <xdr:to>
      <xdr:col>8</xdr:col>
      <xdr:colOff>685800</xdr:colOff>
      <xdr:row>82</xdr:row>
      <xdr:rowOff>121920</xdr:rowOff>
    </xdr:to>
    <xdr:sp macro="" textlink="">
      <xdr:nvSpPr>
        <xdr:cNvPr id="38" name="Llamada de flecha hacia arriba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6454140" y="13860780"/>
          <a:ext cx="571500" cy="464820"/>
        </a:xfrm>
        <a:prstGeom prst="upArrowCallou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>
              <a:solidFill>
                <a:srgbClr val="217346"/>
              </a:solidFill>
            </a:rPr>
            <a:t>Arriba</a:t>
          </a:r>
        </a:p>
      </xdr:txBody>
    </xdr:sp>
    <xdr:clientData/>
  </xdr:twoCellAnchor>
  <xdr:twoCellAnchor>
    <xdr:from>
      <xdr:col>6</xdr:col>
      <xdr:colOff>114300</xdr:colOff>
      <xdr:row>58</xdr:row>
      <xdr:rowOff>38100</xdr:rowOff>
    </xdr:from>
    <xdr:to>
      <xdr:col>6</xdr:col>
      <xdr:colOff>685800</xdr:colOff>
      <xdr:row>60</xdr:row>
      <xdr:rowOff>38100</xdr:rowOff>
    </xdr:to>
    <xdr:sp macro="" textlink="">
      <xdr:nvSpPr>
        <xdr:cNvPr id="39" name="Llamada de flecha hacia arriba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869180" y="9555480"/>
          <a:ext cx="571500" cy="365760"/>
        </a:xfrm>
        <a:prstGeom prst="upArrowCallou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>
              <a:solidFill>
                <a:srgbClr val="217346"/>
              </a:solidFill>
            </a:rPr>
            <a:t>Arriba</a:t>
          </a:r>
        </a:p>
      </xdr:txBody>
    </xdr:sp>
    <xdr:clientData/>
  </xdr:twoCellAnchor>
  <xdr:twoCellAnchor>
    <xdr:from>
      <xdr:col>7</xdr:col>
      <xdr:colOff>419100</xdr:colOff>
      <xdr:row>64</xdr:row>
      <xdr:rowOff>83820</xdr:rowOff>
    </xdr:from>
    <xdr:to>
      <xdr:col>8</xdr:col>
      <xdr:colOff>266700</xdr:colOff>
      <xdr:row>65</xdr:row>
      <xdr:rowOff>266700</xdr:rowOff>
    </xdr:to>
    <xdr:sp macro="" textlink="">
      <xdr:nvSpPr>
        <xdr:cNvPr id="40" name="Llamada de flecha hacia arriba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753100" y="11123295"/>
          <a:ext cx="609600" cy="373380"/>
        </a:xfrm>
        <a:prstGeom prst="upArrowCallou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>
              <a:solidFill>
                <a:srgbClr val="217346"/>
              </a:solidFill>
            </a:rPr>
            <a:t>Arriba</a:t>
          </a:r>
        </a:p>
      </xdr:txBody>
    </xdr:sp>
    <xdr:clientData/>
  </xdr:twoCellAnchor>
  <xdr:twoCellAnchor editAs="absolute">
    <xdr:from>
      <xdr:col>14</xdr:col>
      <xdr:colOff>135527</xdr:colOff>
      <xdr:row>66</xdr:row>
      <xdr:rowOff>78921</xdr:rowOff>
    </xdr:from>
    <xdr:to>
      <xdr:col>16</xdr:col>
      <xdr:colOff>74567</xdr:colOff>
      <xdr:row>68</xdr:row>
      <xdr:rowOff>54429</xdr:rowOff>
    </xdr:to>
    <xdr:sp macro="" textlink="">
      <xdr:nvSpPr>
        <xdr:cNvPr id="19" name="Recortar rectángulo de esquina sencilla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0544991" y="11719832"/>
          <a:ext cx="1082040" cy="444954"/>
        </a:xfrm>
        <a:prstGeom prst="snip1Rect">
          <a:avLst/>
        </a:prstGeom>
        <a:noFill/>
        <a:ln w="31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r>
            <a:rPr lang="es-PE" sz="1000">
              <a:solidFill>
                <a:srgbClr val="217346"/>
              </a:solidFill>
            </a:rPr>
            <a:t>Excel te da Poder</a:t>
          </a:r>
        </a:p>
      </xdr:txBody>
    </xdr:sp>
    <xdr:clientData/>
  </xdr:twoCellAnchor>
  <xdr:twoCellAnchor editAs="absolute">
    <xdr:from>
      <xdr:col>10</xdr:col>
      <xdr:colOff>0</xdr:colOff>
      <xdr:row>78</xdr:row>
      <xdr:rowOff>0</xdr:rowOff>
    </xdr:from>
    <xdr:to>
      <xdr:col>12</xdr:col>
      <xdr:colOff>137160</xdr:colOff>
      <xdr:row>84</xdr:row>
      <xdr:rowOff>47625</xdr:rowOff>
    </xdr:to>
    <xdr:grpSp>
      <xdr:nvGrpSpPr>
        <xdr:cNvPr id="41" name="CRÉDITO ADICIONAL" descr="CRÉDITO ADICIONAL&#10;&#10;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pSpPr/>
      </xdr:nvGrpSpPr>
      <xdr:grpSpPr>
        <a:xfrm>
          <a:off x="7451361" y="13478656"/>
          <a:ext cx="1923488" cy="1134412"/>
          <a:chOff x="9287099" y="3895724"/>
          <a:chExt cx="2155066" cy="1228725"/>
        </a:xfrm>
      </xdr:grpSpPr>
      <xdr:sp macro="" textlink="">
        <xdr:nvSpPr>
          <xdr:cNvPr id="42" name="Paso" descr="CRÉDITO ADICIONAL&#10;Puede elevar un valor a una potencia mediante el operador exponencial (^), por ejemplo =A1^A2. Puede escribirlo con Mayús+`.&#10;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/>
        </xdr:nvSpPr>
        <xdr:spPr>
          <a:xfrm>
            <a:off x="9648643" y="3895724"/>
            <a:ext cx="1793522" cy="1228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-PE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" panose="020B0502040204020203" pitchFamily="34" charset="0"/>
              </a:rPr>
              <a:t>Nota: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Según la configuración regional del sistema operativo.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Se usa la </a:t>
            </a:r>
            <a:r>
              <a:rPr lang="es" sz="14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,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(coma) o el </a:t>
            </a:r>
            <a:r>
              <a:rPr lang="es" sz="14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;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(punto y coma)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43" name="Cinta de crédito adicional" descr="Cinta decorativa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9287099" y="3950551"/>
            <a:ext cx="474289" cy="43973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0</xdr:rowOff>
    </xdr:from>
    <xdr:to>
      <xdr:col>8</xdr:col>
      <xdr:colOff>399288</xdr:colOff>
      <xdr:row>10</xdr:row>
      <xdr:rowOff>9525</xdr:rowOff>
    </xdr:to>
    <xdr:sp macro="" textlink="">
      <xdr:nvSpPr>
        <xdr:cNvPr id="2" name="Fondo" descr="Fon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62000" y="381000"/>
          <a:ext cx="5733288" cy="153352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 editAs="absolute">
    <xdr:from>
      <xdr:col>1</xdr:col>
      <xdr:colOff>285750</xdr:colOff>
      <xdr:row>2</xdr:row>
      <xdr:rowOff>57150</xdr:rowOff>
    </xdr:from>
    <xdr:to>
      <xdr:col>8</xdr:col>
      <xdr:colOff>202496</xdr:colOff>
      <xdr:row>6</xdr:row>
      <xdr:rowOff>161925</xdr:rowOff>
    </xdr:to>
    <xdr:sp macro="" textlink="">
      <xdr:nvSpPr>
        <xdr:cNvPr id="3" name="Paso" descr="Conceptos básicos: realizar operaciones matemáticas con Excel&#10;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047750" y="438150"/>
          <a:ext cx="5250746" cy="86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Conceptos básicos: </a:t>
          </a:r>
          <a:r>
            <a:rPr lang="es-PE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Uso de paréntesis</a:t>
          </a:r>
        </a:p>
      </xdr:txBody>
    </xdr:sp>
    <xdr:clientData/>
  </xdr:twoCellAnchor>
  <xdr:twoCellAnchor editAs="absolute">
    <xdr:from>
      <xdr:col>1</xdr:col>
      <xdr:colOff>161925</xdr:colOff>
      <xdr:row>5</xdr:row>
      <xdr:rowOff>38100</xdr:rowOff>
    </xdr:from>
    <xdr:to>
      <xdr:col>8</xdr:col>
      <xdr:colOff>147554</xdr:colOff>
      <xdr:row>8</xdr:row>
      <xdr:rowOff>104775</xdr:rowOff>
    </xdr:to>
    <xdr:sp macro="" textlink="">
      <xdr:nvSpPr>
        <xdr:cNvPr id="4" name="txt_Paso" descr="Puede sumar, restar, multiplicar y dividir en Excel sin tener que usar las funciones integradas. Solo tiene que usar los operadores +, -, *, /. Todas las fórmulas empiezan con un signo igual (=).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23925" y="990600"/>
          <a:ext cx="5319629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Para cambiar el orden de evaluación, escríbalo entre paréntesis la parte de la fórmula que se calculará en primer lugar.</a:t>
          </a: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Ejemplos: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752475</xdr:colOff>
      <xdr:row>10</xdr:row>
      <xdr:rowOff>9525</xdr:rowOff>
    </xdr:from>
    <xdr:to>
      <xdr:col>8</xdr:col>
      <xdr:colOff>389763</xdr:colOff>
      <xdr:row>16</xdr:row>
      <xdr:rowOff>161925</xdr:rowOff>
    </xdr:to>
    <xdr:sp macro="" textlink="">
      <xdr:nvSpPr>
        <xdr:cNvPr id="5" name="Fondo" descr="Fon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52475" y="1914525"/>
          <a:ext cx="5733288" cy="1533525"/>
        </a:xfrm>
        <a:prstGeom prst="rect">
          <a:avLst/>
        </a:prstGeom>
        <a:solidFill>
          <a:srgbClr val="F5F5F5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6</xdr:col>
      <xdr:colOff>466725</xdr:colOff>
      <xdr:row>10</xdr:row>
      <xdr:rowOff>76200</xdr:rowOff>
    </xdr:from>
    <xdr:to>
      <xdr:col>8</xdr:col>
      <xdr:colOff>638176</xdr:colOff>
      <xdr:row>16</xdr:row>
      <xdr:rowOff>135075</xdr:rowOff>
    </xdr:to>
    <xdr:sp macro="" textlink="">
      <xdr:nvSpPr>
        <xdr:cNvPr id="6" name="Llamada de flecha a la derecha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038725" y="1981200"/>
          <a:ext cx="1695451" cy="1440000"/>
        </a:xfrm>
        <a:prstGeom prst="rightArrowCallout">
          <a:avLst>
            <a:gd name="adj1" fmla="val 25000"/>
            <a:gd name="adj2" fmla="val 38769"/>
            <a:gd name="adj3" fmla="val 17029"/>
            <a:gd name="adj4" fmla="val 78474"/>
          </a:avLst>
        </a:prstGeom>
        <a:solidFill>
          <a:srgbClr val="217346"/>
        </a:solidFill>
        <a:ln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just"/>
          <a:r>
            <a:rPr lang="es-PE" sz="1100"/>
            <a:t>Para encontrar el resultado, tome</a:t>
          </a:r>
          <a:r>
            <a:rPr lang="es-PE" sz="1100" baseline="0"/>
            <a:t> una hoja y lapicero.</a:t>
          </a:r>
        </a:p>
        <a:p>
          <a:pPr algn="just"/>
          <a:r>
            <a:rPr lang="es-PE" sz="1100" baseline="0"/>
            <a:t>Se puede apoyar de una calculadora. No usar Excel</a:t>
          </a:r>
          <a:endParaRPr lang="es-PE" sz="1100"/>
        </a:p>
      </xdr:txBody>
    </xdr:sp>
    <xdr:clientData/>
  </xdr:twoCellAnchor>
  <xdr:twoCellAnchor>
    <xdr:from>
      <xdr:col>6</xdr:col>
      <xdr:colOff>19050</xdr:colOff>
      <xdr:row>10</xdr:row>
      <xdr:rowOff>57150</xdr:rowOff>
    </xdr:from>
    <xdr:to>
      <xdr:col>6</xdr:col>
      <xdr:colOff>407167</xdr:colOff>
      <xdr:row>11</xdr:row>
      <xdr:rowOff>206053</xdr:rowOff>
    </xdr:to>
    <xdr:pic>
      <xdr:nvPicPr>
        <xdr:cNvPr id="7" name="Estrellas" descr="Estrellas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91050" y="1962150"/>
          <a:ext cx="388117" cy="339403"/>
        </a:xfrm>
        <a:prstGeom prst="rect">
          <a:avLst/>
        </a:prstGeom>
      </xdr:spPr>
    </xdr:pic>
    <xdr:clientData/>
  </xdr:twoCellAnchor>
  <xdr:twoCellAnchor>
    <xdr:from>
      <xdr:col>6</xdr:col>
      <xdr:colOff>523875</xdr:colOff>
      <xdr:row>17</xdr:row>
      <xdr:rowOff>28575</xdr:rowOff>
    </xdr:from>
    <xdr:to>
      <xdr:col>10</xdr:col>
      <xdr:colOff>19050</xdr:colOff>
      <xdr:row>18</xdr:row>
      <xdr:rowOff>76200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095875" y="3505200"/>
          <a:ext cx="25431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100">
              <a:solidFill>
                <a:schemeClr val="accent2">
                  <a:lumMod val="75000"/>
                </a:schemeClr>
              </a:solidFill>
            </a:rPr>
            <a:t>Compare</a:t>
          </a:r>
          <a:r>
            <a:rPr lang="es-PE" sz="1100" baseline="0">
              <a:solidFill>
                <a:schemeClr val="accent2">
                  <a:lumMod val="75000"/>
                </a:schemeClr>
              </a:solidFill>
            </a:rPr>
            <a:t> el resultado con su compañero</a:t>
          </a:r>
          <a:endParaRPr lang="es-PE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390525</xdr:colOff>
      <xdr:row>5</xdr:row>
      <xdr:rowOff>152400</xdr:rowOff>
    </xdr:from>
    <xdr:to>
      <xdr:col>12</xdr:col>
      <xdr:colOff>342900</xdr:colOff>
      <xdr:row>10</xdr:row>
      <xdr:rowOff>180975</xdr:rowOff>
    </xdr:to>
    <xdr:sp macro="" textlink="">
      <xdr:nvSpPr>
        <xdr:cNvPr id="9" name="Llamada de flecha hacia abaj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8010525" y="1104900"/>
          <a:ext cx="1476375" cy="981075"/>
        </a:xfrm>
        <a:prstGeom prst="downArrowCallout">
          <a:avLst>
            <a:gd name="adj1" fmla="val 30825"/>
            <a:gd name="adj2" fmla="val 41505"/>
            <a:gd name="adj3" fmla="val 16262"/>
            <a:gd name="adj4" fmla="val 72744"/>
          </a:avLst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r>
            <a:rPr lang="es-PE" sz="1100" b="1">
              <a:solidFill>
                <a:schemeClr val="bg1"/>
              </a:solidFill>
            </a:rPr>
            <a:t>La respuesta se desarrollara con ayuda del docente.</a:t>
          </a:r>
        </a:p>
      </xdr:txBody>
    </xdr:sp>
    <xdr:clientData/>
  </xdr:twoCellAnchor>
  <xdr:twoCellAnchor editAs="absolute">
    <xdr:from>
      <xdr:col>0</xdr:col>
      <xdr:colOff>760095</xdr:colOff>
      <xdr:row>17</xdr:row>
      <xdr:rowOff>129540</xdr:rowOff>
    </xdr:from>
    <xdr:to>
      <xdr:col>6</xdr:col>
      <xdr:colOff>80010</xdr:colOff>
      <xdr:row>30</xdr:row>
      <xdr:rowOff>3810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3467100"/>
          <a:ext cx="4019550" cy="2251710"/>
        </a:xfrm>
        <a:prstGeom prst="rect">
          <a:avLst/>
        </a:prstGeom>
        <a:noFill/>
        <a:ln>
          <a:solidFill>
            <a:schemeClr val="accent3">
              <a:lumMod val="50000"/>
            </a:schemeClr>
          </a:solidFill>
        </a:ln>
        <a:effectLst>
          <a:glow rad="1397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5</xdr:col>
      <xdr:colOff>630104</xdr:colOff>
      <xdr:row>31</xdr:row>
      <xdr:rowOff>0</xdr:rowOff>
    </xdr:from>
    <xdr:to>
      <xdr:col>7</xdr:col>
      <xdr:colOff>508155</xdr:colOff>
      <xdr:row>32</xdr:row>
      <xdr:rowOff>169500</xdr:rowOff>
    </xdr:to>
    <xdr:sp macro="" textlink="">
      <xdr:nvSpPr>
        <xdr:cNvPr id="11" name="Botón Siguiente" descr="Botón Siguiente paso, con un hipervínculo a la siguiente hoja">
          <a:hlinkClick xmlns:r="http://schemas.openxmlformats.org/officeDocument/2006/relationships" r:id="rId4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440104" y="6143625"/>
          <a:ext cx="1402051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paso</a:t>
          </a:r>
        </a:p>
      </xdr:txBody>
    </xdr:sp>
    <xdr:clientData/>
  </xdr:twoCellAnchor>
  <xdr:twoCellAnchor editAs="absolute">
    <xdr:from>
      <xdr:col>1</xdr:col>
      <xdr:colOff>0</xdr:colOff>
      <xdr:row>31</xdr:row>
      <xdr:rowOff>49530</xdr:rowOff>
    </xdr:from>
    <xdr:to>
      <xdr:col>2</xdr:col>
      <xdr:colOff>503645</xdr:colOff>
      <xdr:row>33</xdr:row>
      <xdr:rowOff>3979</xdr:rowOff>
    </xdr:to>
    <xdr:sp macro="" textlink="">
      <xdr:nvSpPr>
        <xdr:cNvPr id="12" name="BotónAnterior" descr="Volver a la hoja anterior">
          <a:hlinkClick xmlns:r="http://schemas.openxmlformats.org/officeDocument/2006/relationships" r:id="rId5" tooltip="Haga clic aquí para volver a la hoja anterior.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 flipH="1">
          <a:off x="762000" y="619315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161925</xdr:rowOff>
    </xdr:from>
    <xdr:to>
      <xdr:col>8</xdr:col>
      <xdr:colOff>399288</xdr:colOff>
      <xdr:row>16</xdr:row>
      <xdr:rowOff>95250</xdr:rowOff>
    </xdr:to>
    <xdr:sp macro="" textlink="">
      <xdr:nvSpPr>
        <xdr:cNvPr id="2" name="Fondo" descr="Fond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62000" y="542925"/>
          <a:ext cx="5733288" cy="264795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 editAs="absolute">
    <xdr:from>
      <xdr:col>1</xdr:col>
      <xdr:colOff>238125</xdr:colOff>
      <xdr:row>3</xdr:row>
      <xdr:rowOff>152400</xdr:rowOff>
    </xdr:from>
    <xdr:to>
      <xdr:col>8</xdr:col>
      <xdr:colOff>154871</xdr:colOff>
      <xdr:row>6</xdr:row>
      <xdr:rowOff>161925</xdr:rowOff>
    </xdr:to>
    <xdr:sp macro="" textlink="">
      <xdr:nvSpPr>
        <xdr:cNvPr id="3" name="Paso" descr="Conceptos básicos: realizar operaciones matemáticas con Excel&#10;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000125" y="723900"/>
          <a:ext cx="5250746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Conceptos básicos: </a:t>
          </a:r>
          <a:r>
            <a:rPr lang="es-PE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Celda Relativa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133350</xdr:colOff>
      <xdr:row>7</xdr:row>
      <xdr:rowOff>152400</xdr:rowOff>
    </xdr:from>
    <xdr:to>
      <xdr:col>8</xdr:col>
      <xdr:colOff>118979</xdr:colOff>
      <xdr:row>15</xdr:row>
      <xdr:rowOff>19050</xdr:rowOff>
    </xdr:to>
    <xdr:sp macro="" textlink="">
      <xdr:nvSpPr>
        <xdr:cNvPr id="4" name="txt_Paso" descr="Puede sumar, restar, multiplicar y dividir en Excel sin tener que usar las funciones integradas. Solo tiene que usar los operadores +, -, *, /. Todas las fórmulas empiezan con un signo igual (=).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895350" y="1504950"/>
          <a:ext cx="5319629" cy="141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De forma predeterminada, una referencia de celda es relativa. Por ejemplo, al hacer referencia a la celda K6 en la celda M6, realmente hace referencia a una celda que tiene dos columnas a la izquierda (M menos K) y, en la misma fila (6). Una fórmula que contenga una referencia de celda relativa cambia al copiar una celda a otra. Por ejemplo, si copia la fórmula </a:t>
          </a:r>
          <a:r>
            <a:rPr lang="es-PE" sz="1100" b="1" i="0" u="none" strike="noStrike" kern="0" cap="none" spc="0" normalizeH="0" baseline="0">
              <a:ln>
                <a:noFill/>
              </a:ln>
              <a:solidFill>
                <a:schemeClr val="accent6">
                  <a:lumMod val="50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= K6 + L6</a:t>
          </a: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 desde la celda M6 a M10, las referencias de la fórmulas en la celda </a:t>
          </a:r>
          <a:r>
            <a:rPr lang="es-PE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M7</a:t>
          </a: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cambia una fila hacia abajo y se convierten en = </a:t>
          </a:r>
          <a:r>
            <a:rPr lang="es-PE" sz="1100" b="1" i="0" u="none" strike="noStrike" kern="0" cap="none" spc="0" normalizeH="0" baseline="0">
              <a:ln>
                <a:noFill/>
              </a:ln>
              <a:solidFill>
                <a:schemeClr val="accent6">
                  <a:lumMod val="50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K7 + L7</a:t>
          </a: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228600</xdr:colOff>
      <xdr:row>15</xdr:row>
      <xdr:rowOff>38100</xdr:rowOff>
    </xdr:from>
    <xdr:to>
      <xdr:col>8</xdr:col>
      <xdr:colOff>142151</xdr:colOff>
      <xdr:row>15</xdr:row>
      <xdr:rowOff>38100</xdr:rowOff>
    </xdr:to>
    <xdr:cxnSp macro="">
      <xdr:nvCxnSpPr>
        <xdr:cNvPr id="5" name="Línea superior" descr="Línea decorativa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cxnSpLocks/>
        </xdr:cNvCxnSpPr>
      </xdr:nvCxnSpPr>
      <xdr:spPr>
        <a:xfrm>
          <a:off x="990600" y="2943225"/>
          <a:ext cx="524755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361950</xdr:colOff>
      <xdr:row>5</xdr:row>
      <xdr:rowOff>180975</xdr:rowOff>
    </xdr:from>
    <xdr:to>
      <xdr:col>13</xdr:col>
      <xdr:colOff>371475</xdr:colOff>
      <xdr:row>10</xdr:row>
      <xdr:rowOff>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10296525" y="1133475"/>
          <a:ext cx="9525" cy="771525"/>
        </a:xfrm>
        <a:prstGeom prst="straightConnector1">
          <a:avLst/>
        </a:prstGeom>
        <a:ln w="28575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496923</xdr:colOff>
      <xdr:row>10</xdr:row>
      <xdr:rowOff>38099</xdr:rowOff>
    </xdr:from>
    <xdr:to>
      <xdr:col>13</xdr:col>
      <xdr:colOff>380999</xdr:colOff>
      <xdr:row>16</xdr:row>
      <xdr:rowOff>85724</xdr:rowOff>
    </xdr:to>
    <xdr:grpSp>
      <xdr:nvGrpSpPr>
        <xdr:cNvPr id="9" name="CRÉDITO ADICIONAL" descr="CRÉDITO ADICIONAL&#10;&#10;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8333639" y="1925622"/>
          <a:ext cx="2323874" cy="1138194"/>
          <a:chOff x="9287099" y="3895724"/>
          <a:chExt cx="2155066" cy="1228725"/>
        </a:xfrm>
      </xdr:grpSpPr>
      <xdr:sp macro="" textlink="">
        <xdr:nvSpPr>
          <xdr:cNvPr id="10" name="Paso" descr="CRÉDITO ADICIONAL&#10;Puede elevar un valor a una potencia mediante el operador exponencial (^), por ejemplo =A1^A2. Puede escribirlo con Mayús+`.&#10;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9648643" y="3895724"/>
            <a:ext cx="1793522" cy="1228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" panose="020B0502040204020203" pitchFamily="34" charset="0"/>
              </a:rPr>
              <a:t>CRÉDITO ADICIONAL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celda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M6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digite la fórmula: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 K6 * L6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Copiar la fórmula hasta la celda M10.</a:t>
            </a:r>
          </a:p>
        </xdr:txBody>
      </xdr:sp>
      <xdr:pic>
        <xdr:nvPicPr>
          <xdr:cNvPr id="11" name="Cinta de crédito adicional" descr="Cinta decorativa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287099" y="3950551"/>
            <a:ext cx="474289" cy="43973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630104</xdr:colOff>
      <xdr:row>18</xdr:row>
      <xdr:rowOff>252</xdr:rowOff>
    </xdr:from>
    <xdr:to>
      <xdr:col>7</xdr:col>
      <xdr:colOff>508155</xdr:colOff>
      <xdr:row>19</xdr:row>
      <xdr:rowOff>169500</xdr:rowOff>
    </xdr:to>
    <xdr:sp macro="" textlink="">
      <xdr:nvSpPr>
        <xdr:cNvPr id="12" name="Botón Siguiente" descr="Botón Siguiente paso, con un hipervínculo a la siguiente hoja">
          <a:hlinkClick xmlns:r="http://schemas.openxmlformats.org/officeDocument/2006/relationships" r:id="rId3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440104" y="3476625"/>
          <a:ext cx="1402051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paso</a:t>
          </a:r>
        </a:p>
      </xdr:txBody>
    </xdr:sp>
    <xdr:clientData/>
  </xdr:twoCellAnchor>
  <xdr:twoCellAnchor editAs="absolute">
    <xdr:from>
      <xdr:col>1</xdr:col>
      <xdr:colOff>0</xdr:colOff>
      <xdr:row>18</xdr:row>
      <xdr:rowOff>49530</xdr:rowOff>
    </xdr:from>
    <xdr:to>
      <xdr:col>2</xdr:col>
      <xdr:colOff>503645</xdr:colOff>
      <xdr:row>20</xdr:row>
      <xdr:rowOff>3979</xdr:rowOff>
    </xdr:to>
    <xdr:sp macro="" textlink="">
      <xdr:nvSpPr>
        <xdr:cNvPr id="13" name="BotónAnterior" descr="Volver a la hoja anterior">
          <a:hlinkClick xmlns:r="http://schemas.openxmlformats.org/officeDocument/2006/relationships" r:id="rId4" tooltip="Haga clic aquí para volver a la hoja anterior.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 flipH="1">
          <a:off x="762000" y="352615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352425</xdr:colOff>
      <xdr:row>2</xdr:row>
      <xdr:rowOff>152400</xdr:rowOff>
    </xdr:from>
    <xdr:to>
      <xdr:col>7</xdr:col>
      <xdr:colOff>751713</xdr:colOff>
      <xdr:row>14</xdr:row>
      <xdr:rowOff>28575</xdr:rowOff>
    </xdr:to>
    <xdr:sp macro="" textlink="">
      <xdr:nvSpPr>
        <xdr:cNvPr id="2" name="Fondo" descr="Fon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52425" y="533400"/>
          <a:ext cx="5733288" cy="22098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 editAs="absolute">
    <xdr:from>
      <xdr:col>0</xdr:col>
      <xdr:colOff>590550</xdr:colOff>
      <xdr:row>3</xdr:row>
      <xdr:rowOff>142875</xdr:rowOff>
    </xdr:from>
    <xdr:to>
      <xdr:col>7</xdr:col>
      <xdr:colOff>507296</xdr:colOff>
      <xdr:row>6</xdr:row>
      <xdr:rowOff>152400</xdr:rowOff>
    </xdr:to>
    <xdr:sp macro="" textlink="">
      <xdr:nvSpPr>
        <xdr:cNvPr id="3" name="Paso" descr="Conceptos básicos: realizar operaciones matemáticas con Excel&#10;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90550" y="714375"/>
          <a:ext cx="5250746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Conceptos básicos: </a:t>
          </a:r>
          <a:r>
            <a:rPr lang="es-PE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Celda Absoluta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485775</xdr:colOff>
      <xdr:row>7</xdr:row>
      <xdr:rowOff>142876</xdr:rowOff>
    </xdr:from>
    <xdr:to>
      <xdr:col>7</xdr:col>
      <xdr:colOff>471404</xdr:colOff>
      <xdr:row>12</xdr:row>
      <xdr:rowOff>152401</xdr:rowOff>
    </xdr:to>
    <xdr:sp macro="" textlink="">
      <xdr:nvSpPr>
        <xdr:cNvPr id="4" name="txt_Paso" descr="Puede sumar, restar, multiplicar y dividir en Excel sin tener que usar las funciones integradas. Solo tiene que usar los operadores +, -, *, /. Todas las fórmulas empiezan con un signo igual (=).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485775" y="1495426"/>
          <a:ext cx="5319629" cy="990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Si desea mantener la referencia de celda original al copiarla, lo "bloquea" colocando un signo de dólar ($) antes de las referencias de celda y de columna. Por ejemplo, cuando se copia la fórmula = L6 / $K$ 2 de M6 hasta M10, la fórmula sea la misma. Se trata de una referencia absoluta.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581025</xdr:colOff>
      <xdr:row>13</xdr:row>
      <xdr:rowOff>9525</xdr:rowOff>
    </xdr:from>
    <xdr:to>
      <xdr:col>7</xdr:col>
      <xdr:colOff>494576</xdr:colOff>
      <xdr:row>13</xdr:row>
      <xdr:rowOff>9525</xdr:rowOff>
    </xdr:to>
    <xdr:cxnSp macro="">
      <xdr:nvCxnSpPr>
        <xdr:cNvPr id="5" name="Línea superior" descr="Línea decorativa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cxnSpLocks/>
        </xdr:cNvCxnSpPr>
      </xdr:nvCxnSpPr>
      <xdr:spPr>
        <a:xfrm>
          <a:off x="581025" y="2533650"/>
          <a:ext cx="524755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361950</xdr:colOff>
      <xdr:row>5</xdr:row>
      <xdr:rowOff>180975</xdr:rowOff>
    </xdr:from>
    <xdr:to>
      <xdr:col>13</xdr:col>
      <xdr:colOff>371475</xdr:colOff>
      <xdr:row>10</xdr:row>
      <xdr:rowOff>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0296525" y="1133475"/>
          <a:ext cx="9525" cy="819150"/>
        </a:xfrm>
        <a:prstGeom prst="straightConnector1">
          <a:avLst/>
        </a:prstGeom>
        <a:ln w="28575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57151</xdr:colOff>
      <xdr:row>10</xdr:row>
      <xdr:rowOff>38099</xdr:rowOff>
    </xdr:from>
    <xdr:to>
      <xdr:col>13</xdr:col>
      <xdr:colOff>228600</xdr:colOff>
      <xdr:row>17</xdr:row>
      <xdr:rowOff>123825</xdr:rowOff>
    </xdr:to>
    <xdr:grpSp>
      <xdr:nvGrpSpPr>
        <xdr:cNvPr id="7" name="CRÉDITO ADICIONAL" descr="CRÉDITO ADICIONAL&#10;&#10;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7202572" y="1943099"/>
          <a:ext cx="3493502" cy="1349042"/>
          <a:chOff x="9287099" y="3895724"/>
          <a:chExt cx="2155066" cy="1228725"/>
        </a:xfrm>
      </xdr:grpSpPr>
      <xdr:sp macro="" textlink="">
        <xdr:nvSpPr>
          <xdr:cNvPr id="8" name="Paso" descr="CRÉDITO ADICIONAL&#10;Puede elevar un valor a una potencia mediante el operador exponencial (^), por ejemplo =A1^A2. Puede escribirlo con Mayús+`.&#10;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9648643" y="3895724"/>
            <a:ext cx="1793522" cy="1228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" panose="020B0502040204020203" pitchFamily="34" charset="0"/>
              </a:rPr>
              <a:t>CRÉDITO ADICIONAL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celda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M6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digite la fórmula: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 L6/K2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fórmula seleccione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y pulse la tecla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es" sz="11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F4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] y se mostrará así: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$K$2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Copiar la fórmula </a:t>
            </a: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=L6/$K$2</a:t>
            </a:r>
            <a:r>
              <a:rPr lang="es-PE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hasta la celda M10.</a:t>
            </a:r>
          </a:p>
        </xdr:txBody>
      </xdr:sp>
      <xdr:pic>
        <xdr:nvPicPr>
          <xdr:cNvPr id="9" name="Cinta de crédito adicional" descr="Cinta decorativa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287099" y="3950551"/>
            <a:ext cx="386342" cy="43973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630104</xdr:colOff>
      <xdr:row>16</xdr:row>
      <xdr:rowOff>663</xdr:rowOff>
    </xdr:from>
    <xdr:to>
      <xdr:col>7</xdr:col>
      <xdr:colOff>508155</xdr:colOff>
      <xdr:row>17</xdr:row>
      <xdr:rowOff>169500</xdr:rowOff>
    </xdr:to>
    <xdr:sp macro="" textlink="">
      <xdr:nvSpPr>
        <xdr:cNvPr id="10" name="Botón Siguiente" descr="Botón Siguiente paso, con un hipervínculo a la siguiente hoja">
          <a:hlinkClick xmlns:r="http://schemas.openxmlformats.org/officeDocument/2006/relationships" r:id="rId3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440104" y="3095625"/>
          <a:ext cx="1402051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paso</a:t>
          </a:r>
        </a:p>
      </xdr:txBody>
    </xdr:sp>
    <xdr:clientData/>
  </xdr:twoCellAnchor>
  <xdr:twoCellAnchor editAs="absolute">
    <xdr:from>
      <xdr:col>1</xdr:col>
      <xdr:colOff>0</xdr:colOff>
      <xdr:row>16</xdr:row>
      <xdr:rowOff>49530</xdr:rowOff>
    </xdr:from>
    <xdr:to>
      <xdr:col>2</xdr:col>
      <xdr:colOff>503645</xdr:colOff>
      <xdr:row>18</xdr:row>
      <xdr:rowOff>3979</xdr:rowOff>
    </xdr:to>
    <xdr:sp macro="" textlink="">
      <xdr:nvSpPr>
        <xdr:cNvPr id="11" name="BotónAnterior" descr="Volver a la hoja anterior">
          <a:hlinkClick xmlns:r="http://schemas.openxmlformats.org/officeDocument/2006/relationships" r:id="rId4" tooltip="Haga clic aquí para volver a la hoja anterior.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 flipH="1">
          <a:off x="762000" y="314515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352425</xdr:colOff>
      <xdr:row>2</xdr:row>
      <xdr:rowOff>152399</xdr:rowOff>
    </xdr:from>
    <xdr:to>
      <xdr:col>7</xdr:col>
      <xdr:colOff>751713</xdr:colOff>
      <xdr:row>19</xdr:row>
      <xdr:rowOff>38100</xdr:rowOff>
    </xdr:to>
    <xdr:sp macro="" textlink="">
      <xdr:nvSpPr>
        <xdr:cNvPr id="2" name="Fondo" descr="Fond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52425" y="533399"/>
          <a:ext cx="5733288" cy="3124201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 editAs="absolute">
    <xdr:from>
      <xdr:col>0</xdr:col>
      <xdr:colOff>590550</xdr:colOff>
      <xdr:row>3</xdr:row>
      <xdr:rowOff>142875</xdr:rowOff>
    </xdr:from>
    <xdr:to>
      <xdr:col>7</xdr:col>
      <xdr:colOff>507296</xdr:colOff>
      <xdr:row>6</xdr:row>
      <xdr:rowOff>161925</xdr:rowOff>
    </xdr:to>
    <xdr:sp macro="" textlink="">
      <xdr:nvSpPr>
        <xdr:cNvPr id="3" name="Paso" descr="Conceptos básicos: realizar operaciones matemáticas con Excel&#10;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90550" y="691515"/>
          <a:ext cx="5456486" cy="573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Conceptos básicos: </a:t>
          </a:r>
          <a:r>
            <a:rPr lang="es-PE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Celda Mixta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485775</xdr:colOff>
      <xdr:row>7</xdr:row>
      <xdr:rowOff>161925</xdr:rowOff>
    </xdr:from>
    <xdr:to>
      <xdr:col>7</xdr:col>
      <xdr:colOff>471404</xdr:colOff>
      <xdr:row>17</xdr:row>
      <xdr:rowOff>104774</xdr:rowOff>
    </xdr:to>
    <xdr:sp macro="" textlink="">
      <xdr:nvSpPr>
        <xdr:cNvPr id="4" name="txt_Paso" descr="Puede sumar, restar, multiplicar y dividir en Excel sin tener que usar las funciones integradas. Solo tiene que usar los operadores +, -, *, /. Todas las fórmulas empiezan con un signo igual (=).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485775" y="1495425"/>
          <a:ext cx="5319629" cy="1847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Las refencias mixtas de celdas están formadas por una mezcla entre refencia absoluta y referencia relativa. Las referencias relativas se identifican con el título de la celda (letra de la columna y número de fila) mientras que en las referencias absolutas colocamos un signo de dólar ($) antes de la columna o fila cuyo valor se mantendrá invariable.</a:t>
          </a: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Asi, si se cambia la posición de la celda que contiene la fórmula, la referencia relativa se actualiza dependiendo de la nueva celda donde es copiada, pero la referencia absoluta (columna o fila que tiene el signo $) se mantiene igual.</a:t>
          </a:r>
        </a:p>
      </xdr:txBody>
    </xdr:sp>
    <xdr:clientData/>
  </xdr:twoCellAnchor>
  <xdr:twoCellAnchor editAs="absolute">
    <xdr:from>
      <xdr:col>0</xdr:col>
      <xdr:colOff>542925</xdr:colOff>
      <xdr:row>17</xdr:row>
      <xdr:rowOff>133350</xdr:rowOff>
    </xdr:from>
    <xdr:to>
      <xdr:col>7</xdr:col>
      <xdr:colOff>456476</xdr:colOff>
      <xdr:row>17</xdr:row>
      <xdr:rowOff>133350</xdr:rowOff>
    </xdr:to>
    <xdr:cxnSp macro="">
      <xdr:nvCxnSpPr>
        <xdr:cNvPr id="5" name="Línea superior" descr="Línea decorativa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>
          <a:cxnSpLocks/>
        </xdr:cNvCxnSpPr>
      </xdr:nvCxnSpPr>
      <xdr:spPr>
        <a:xfrm>
          <a:off x="542925" y="3371850"/>
          <a:ext cx="524755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238126</xdr:colOff>
      <xdr:row>20</xdr:row>
      <xdr:rowOff>142873</xdr:rowOff>
    </xdr:from>
    <xdr:to>
      <xdr:col>8</xdr:col>
      <xdr:colOff>590550</xdr:colOff>
      <xdr:row>29</xdr:row>
      <xdr:rowOff>47624</xdr:rowOff>
    </xdr:to>
    <xdr:grpSp>
      <xdr:nvGrpSpPr>
        <xdr:cNvPr id="7" name="CRÉDITO ADICIONAL" descr="CRÉDITO ADICIONAL&#10;&#10;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3406730" y="3761002"/>
          <a:ext cx="3531993" cy="1532910"/>
          <a:chOff x="9287099" y="3895724"/>
          <a:chExt cx="2155066" cy="1228725"/>
        </a:xfrm>
      </xdr:grpSpPr>
      <xdr:sp macro="" textlink="">
        <xdr:nvSpPr>
          <xdr:cNvPr id="8" name="Paso" descr="CRÉDITO ADICIONAL&#10;Puede elevar un valor a una potencia mediante el operador exponencial (^), por ejemplo =A1^A2. Puede escribirlo con Mayús+`.&#10;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>
            <a:off x="9648643" y="3895724"/>
            <a:ext cx="1793522" cy="1228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" panose="020B0502040204020203" pitchFamily="34" charset="0"/>
              </a:rPr>
              <a:t>CRÉDITO ADICIONAL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celda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C25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digite la fórmula: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=B25+C22*B25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fórmula seleccione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C22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y pulse la tecla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es" sz="11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F4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] dos veces y se mostrará así: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</a:t>
            </a:r>
            <a:r>
              <a:rPr lang="es" sz="11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$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Copiar la fórmula</a:t>
            </a:r>
            <a:r>
              <a:rPr lang="es-PE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=B25+C</a:t>
            </a:r>
            <a:r>
              <a:rPr lang="es-PE" sz="12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$</a:t>
            </a: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22*B25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hasta la celda D27. Arratrar en forma horizontal y luego, en forma vertical</a:t>
            </a:r>
          </a:p>
        </xdr:txBody>
      </xdr:sp>
      <xdr:pic>
        <xdr:nvPicPr>
          <xdr:cNvPr id="9" name="Cinta de crédito adicional" descr="Cinta decorativa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287099" y="3950551"/>
            <a:ext cx="386342" cy="439736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0</xdr:colOff>
      <xdr:row>34</xdr:row>
      <xdr:rowOff>0</xdr:rowOff>
    </xdr:from>
    <xdr:to>
      <xdr:col>8</xdr:col>
      <xdr:colOff>352424</xdr:colOff>
      <xdr:row>42</xdr:row>
      <xdr:rowOff>95251</xdr:rowOff>
    </xdr:to>
    <xdr:grpSp>
      <xdr:nvGrpSpPr>
        <xdr:cNvPr id="10" name="CRÉDITO ADICIONAL" descr="CRÉDITO ADICIONAL&#10;&#10;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/>
      </xdr:nvGrpSpPr>
      <xdr:grpSpPr>
        <a:xfrm>
          <a:off x="3168604" y="6150820"/>
          <a:ext cx="3531993" cy="1542503"/>
          <a:chOff x="9287099" y="3895724"/>
          <a:chExt cx="2155066" cy="1228725"/>
        </a:xfrm>
      </xdr:grpSpPr>
      <xdr:sp macro="" textlink="">
        <xdr:nvSpPr>
          <xdr:cNvPr id="11" name="Paso" descr="CRÉDITO ADICIONAL&#10;Puede elevar un valor a una potencia mediante el operador exponencial (^), por ejemplo =A1^A2. Puede escribirlo con Mayús+`.&#10;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 txBox="1"/>
        </xdr:nvSpPr>
        <xdr:spPr>
          <a:xfrm>
            <a:off x="9648643" y="3895724"/>
            <a:ext cx="1793522" cy="1228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es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" panose="020B0502040204020203" pitchFamily="34" charset="0"/>
              </a:rPr>
              <a:t>CRÉDITO ADICIONAL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celda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E32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digite la fórmula: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=E31+B32*E31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 la fórmula seleccione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B32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y pulse la tecla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es" sz="11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F4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] tres veces y se mostrará así: </a:t>
            </a:r>
            <a:r>
              <a:rPr lang="es" sz="11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$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B32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marL="0" marR="0" lvl="0" indent="0" algn="just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Copiar la fórmula</a:t>
            </a:r>
            <a:r>
              <a:rPr lang="es-PE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=E31+</a:t>
            </a:r>
            <a:r>
              <a:rPr lang="es-PE" sz="1100" b="1" i="0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$</a:t>
            </a:r>
            <a:r>
              <a:rPr lang="es-PE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B32*E31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hasta la celda </a:t>
            </a:r>
            <a:r>
              <a:rPr lang="es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G33</a:t>
            </a:r>
            <a:r>
              <a:rPr lang="es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Arratrar en forma horizontal y luego, en forma vertical</a:t>
            </a:r>
          </a:p>
        </xdr:txBody>
      </xdr:sp>
      <xdr:pic>
        <xdr:nvPicPr>
          <xdr:cNvPr id="12" name="Cinta de crédito adicional" descr="Cinta decorativa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287099" y="3950551"/>
            <a:ext cx="386342" cy="43973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630104</xdr:colOff>
      <xdr:row>44</xdr:row>
      <xdr:rowOff>180906</xdr:rowOff>
    </xdr:from>
    <xdr:to>
      <xdr:col>7</xdr:col>
      <xdr:colOff>508155</xdr:colOff>
      <xdr:row>46</xdr:row>
      <xdr:rowOff>169500</xdr:rowOff>
    </xdr:to>
    <xdr:sp macro="" textlink="">
      <xdr:nvSpPr>
        <xdr:cNvPr id="13" name="Botón Siguiente" descr="Botón Siguiente paso, con un hipervínculo a la siguiente hoja">
          <a:hlinkClick xmlns:r="http://schemas.openxmlformats.org/officeDocument/2006/relationships" r:id="rId3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4440104" y="8572500"/>
          <a:ext cx="1402051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paso</a:t>
          </a:r>
        </a:p>
      </xdr:txBody>
    </xdr:sp>
    <xdr:clientData/>
  </xdr:twoCellAnchor>
  <xdr:twoCellAnchor editAs="absolute">
    <xdr:from>
      <xdr:col>1</xdr:col>
      <xdr:colOff>0</xdr:colOff>
      <xdr:row>45</xdr:row>
      <xdr:rowOff>49530</xdr:rowOff>
    </xdr:from>
    <xdr:to>
      <xdr:col>2</xdr:col>
      <xdr:colOff>503645</xdr:colOff>
      <xdr:row>47</xdr:row>
      <xdr:rowOff>3979</xdr:rowOff>
    </xdr:to>
    <xdr:sp macro="" textlink="">
      <xdr:nvSpPr>
        <xdr:cNvPr id="14" name="BotónAnterior" descr="Volver a la hoja anterior">
          <a:hlinkClick xmlns:r="http://schemas.openxmlformats.org/officeDocument/2006/relationships" r:id="rId4" tooltip="Haga clic aquí para volver a la hoja anterior.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flipH="1">
          <a:off x="762000" y="8622030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0</xdr:row>
      <xdr:rowOff>38100</xdr:rowOff>
    </xdr:from>
    <xdr:to>
      <xdr:col>6</xdr:col>
      <xdr:colOff>541020</xdr:colOff>
      <xdr:row>5</xdr:row>
      <xdr:rowOff>87630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5</xdr:col>
      <xdr:colOff>381000</xdr:colOff>
      <xdr:row>17</xdr:row>
      <xdr:rowOff>0</xdr:rowOff>
    </xdr:from>
    <xdr:to>
      <xdr:col>7</xdr:col>
      <xdr:colOff>508155</xdr:colOff>
      <xdr:row>18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4191000" y="3248025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17</xdr:row>
      <xdr:rowOff>0</xdr:rowOff>
    </xdr:from>
    <xdr:to>
      <xdr:col>2</xdr:col>
      <xdr:colOff>503645</xdr:colOff>
      <xdr:row>18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 flipH="1">
          <a:off x="762000" y="324802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0</xdr:row>
      <xdr:rowOff>38100</xdr:rowOff>
    </xdr:from>
    <xdr:to>
      <xdr:col>6</xdr:col>
      <xdr:colOff>541020</xdr:colOff>
      <xdr:row>5</xdr:row>
      <xdr:rowOff>87630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5</xdr:col>
      <xdr:colOff>381000</xdr:colOff>
      <xdr:row>18</xdr:row>
      <xdr:rowOff>0</xdr:rowOff>
    </xdr:from>
    <xdr:to>
      <xdr:col>7</xdr:col>
      <xdr:colOff>508155</xdr:colOff>
      <xdr:row>19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191000" y="3438525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18</xdr:row>
      <xdr:rowOff>49530</xdr:rowOff>
    </xdr:from>
    <xdr:to>
      <xdr:col>2</xdr:col>
      <xdr:colOff>503645</xdr:colOff>
      <xdr:row>20</xdr:row>
      <xdr:rowOff>3979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flipH="1">
          <a:off x="762000" y="348805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723900</xdr:colOff>
      <xdr:row>0</xdr:row>
      <xdr:rowOff>38100</xdr:rowOff>
    </xdr:from>
    <xdr:to>
      <xdr:col>5</xdr:col>
      <xdr:colOff>426720</xdr:colOff>
      <xdr:row>5</xdr:row>
      <xdr:rowOff>87630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4</xdr:col>
      <xdr:colOff>371475</xdr:colOff>
      <xdr:row>18</xdr:row>
      <xdr:rowOff>0</xdr:rowOff>
    </xdr:from>
    <xdr:to>
      <xdr:col>6</xdr:col>
      <xdr:colOff>346230</xdr:colOff>
      <xdr:row>19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4191000" y="3438525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18</xdr:row>
      <xdr:rowOff>0</xdr:rowOff>
    </xdr:from>
    <xdr:to>
      <xdr:col>2</xdr:col>
      <xdr:colOff>36920</xdr:colOff>
      <xdr:row>19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flipH="1">
          <a:off x="762000" y="343852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723900</xdr:colOff>
      <xdr:row>0</xdr:row>
      <xdr:rowOff>38100</xdr:rowOff>
    </xdr:from>
    <xdr:to>
      <xdr:col>5</xdr:col>
      <xdr:colOff>899160</xdr:colOff>
      <xdr:row>5</xdr:row>
      <xdr:rowOff>87630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4</xdr:col>
      <xdr:colOff>790575</xdr:colOff>
      <xdr:row>28</xdr:row>
      <xdr:rowOff>6803</xdr:rowOff>
    </xdr:from>
    <xdr:to>
      <xdr:col>6</xdr:col>
      <xdr:colOff>546255</xdr:colOff>
      <xdr:row>29</xdr:row>
      <xdr:rowOff>176303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4191000" y="5353050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28</xdr:row>
      <xdr:rowOff>6803</xdr:rowOff>
    </xdr:from>
    <xdr:to>
      <xdr:col>2</xdr:col>
      <xdr:colOff>503645</xdr:colOff>
      <xdr:row>29</xdr:row>
      <xdr:rowOff>151752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 flipH="1">
          <a:off x="762000" y="5353050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723900</xdr:colOff>
      <xdr:row>0</xdr:row>
      <xdr:rowOff>38100</xdr:rowOff>
    </xdr:from>
    <xdr:to>
      <xdr:col>5</xdr:col>
      <xdr:colOff>899160</xdr:colOff>
      <xdr:row>5</xdr:row>
      <xdr:rowOff>87630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4</xdr:col>
      <xdr:colOff>790575</xdr:colOff>
      <xdr:row>17</xdr:row>
      <xdr:rowOff>0</xdr:rowOff>
    </xdr:from>
    <xdr:to>
      <xdr:col>6</xdr:col>
      <xdr:colOff>546255</xdr:colOff>
      <xdr:row>18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4191000" y="3248025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17</xdr:row>
      <xdr:rowOff>0</xdr:rowOff>
    </xdr:from>
    <xdr:to>
      <xdr:col>2</xdr:col>
      <xdr:colOff>503645</xdr:colOff>
      <xdr:row>18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 flipH="1">
          <a:off x="762000" y="324802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47625</xdr:rowOff>
    </xdr:from>
    <xdr:to>
      <xdr:col>4</xdr:col>
      <xdr:colOff>708660</xdr:colOff>
      <xdr:row>5</xdr:row>
      <xdr:rowOff>97155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3</xdr:col>
      <xdr:colOff>962025</xdr:colOff>
      <xdr:row>18</xdr:row>
      <xdr:rowOff>0</xdr:rowOff>
    </xdr:from>
    <xdr:to>
      <xdr:col>5</xdr:col>
      <xdr:colOff>460530</xdr:colOff>
      <xdr:row>19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4191000" y="3429000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18</xdr:row>
      <xdr:rowOff>0</xdr:rowOff>
    </xdr:from>
    <xdr:to>
      <xdr:col>1</xdr:col>
      <xdr:colOff>1265645</xdr:colOff>
      <xdr:row>19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 flipH="1">
          <a:off x="762000" y="3429000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156210</xdr:colOff>
      <xdr:row>6</xdr:row>
      <xdr:rowOff>49530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2</xdr:col>
      <xdr:colOff>1276350</xdr:colOff>
      <xdr:row>24</xdr:row>
      <xdr:rowOff>0</xdr:rowOff>
    </xdr:from>
    <xdr:to>
      <xdr:col>5</xdr:col>
      <xdr:colOff>50955</xdr:colOff>
      <xdr:row>25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4191000" y="4686300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24</xdr:row>
      <xdr:rowOff>0</xdr:rowOff>
    </xdr:from>
    <xdr:to>
      <xdr:col>1</xdr:col>
      <xdr:colOff>1265645</xdr:colOff>
      <xdr:row>25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 flipH="1">
          <a:off x="762000" y="4686300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6</xdr:col>
      <xdr:colOff>194310</xdr:colOff>
      <xdr:row>5</xdr:row>
      <xdr:rowOff>49530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4</xdr:col>
      <xdr:colOff>723900</xdr:colOff>
      <xdr:row>24</xdr:row>
      <xdr:rowOff>0</xdr:rowOff>
    </xdr:from>
    <xdr:to>
      <xdr:col>7</xdr:col>
      <xdr:colOff>12855</xdr:colOff>
      <xdr:row>25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4191000" y="4848225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24</xdr:row>
      <xdr:rowOff>0</xdr:rowOff>
    </xdr:from>
    <xdr:to>
      <xdr:col>2</xdr:col>
      <xdr:colOff>84545</xdr:colOff>
      <xdr:row>25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 flipH="1">
          <a:off x="762000" y="484822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6</xdr:col>
      <xdr:colOff>127635</xdr:colOff>
      <xdr:row>5</xdr:row>
      <xdr:rowOff>49530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5</xdr:col>
      <xdr:colOff>161925</xdr:colOff>
      <xdr:row>17</xdr:row>
      <xdr:rowOff>0</xdr:rowOff>
    </xdr:from>
    <xdr:to>
      <xdr:col>7</xdr:col>
      <xdr:colOff>22380</xdr:colOff>
      <xdr:row>18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4191000" y="3695700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17</xdr:row>
      <xdr:rowOff>0</xdr:rowOff>
    </xdr:from>
    <xdr:to>
      <xdr:col>2</xdr:col>
      <xdr:colOff>503645</xdr:colOff>
      <xdr:row>18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 flipH="1">
          <a:off x="762000" y="3695700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761999</xdr:colOff>
      <xdr:row>0</xdr:row>
      <xdr:rowOff>0</xdr:rowOff>
    </xdr:from>
    <xdr:to>
      <xdr:col>7</xdr:col>
      <xdr:colOff>152399</xdr:colOff>
      <xdr:row>5</xdr:row>
      <xdr:rowOff>49530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5</xdr:col>
      <xdr:colOff>47625</xdr:colOff>
      <xdr:row>16</xdr:row>
      <xdr:rowOff>0</xdr:rowOff>
    </xdr:from>
    <xdr:to>
      <xdr:col>7</xdr:col>
      <xdr:colOff>174780</xdr:colOff>
      <xdr:row>17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4191000" y="3724275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16</xdr:row>
      <xdr:rowOff>0</xdr:rowOff>
    </xdr:from>
    <xdr:to>
      <xdr:col>2</xdr:col>
      <xdr:colOff>379820</xdr:colOff>
      <xdr:row>17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 flipH="1">
          <a:off x="762000" y="372427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5</xdr:col>
      <xdr:colOff>689610</xdr:colOff>
      <xdr:row>5</xdr:row>
      <xdr:rowOff>49530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4</xdr:col>
      <xdr:colOff>495300</xdr:colOff>
      <xdr:row>21</xdr:row>
      <xdr:rowOff>0</xdr:rowOff>
    </xdr:from>
    <xdr:to>
      <xdr:col>6</xdr:col>
      <xdr:colOff>546255</xdr:colOff>
      <xdr:row>22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752850" y="4000500"/>
          <a:ext cx="1651155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Siguiente Ejemplo</a:t>
          </a:r>
        </a:p>
      </xdr:txBody>
    </xdr:sp>
    <xdr:clientData/>
  </xdr:twoCellAnchor>
  <xdr:twoCellAnchor editAs="absolute">
    <xdr:from>
      <xdr:col>1</xdr:col>
      <xdr:colOff>0</xdr:colOff>
      <xdr:row>21</xdr:row>
      <xdr:rowOff>0</xdr:rowOff>
    </xdr:from>
    <xdr:to>
      <xdr:col>2</xdr:col>
      <xdr:colOff>94070</xdr:colOff>
      <xdr:row>22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 flipH="1">
          <a:off x="323850" y="4000500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6</xdr:col>
      <xdr:colOff>346710</xdr:colOff>
      <xdr:row>5</xdr:row>
      <xdr:rowOff>49530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6</xdr:col>
      <xdr:colOff>57150</xdr:colOff>
      <xdr:row>20</xdr:row>
      <xdr:rowOff>0</xdr:rowOff>
    </xdr:from>
    <xdr:to>
      <xdr:col>8</xdr:col>
      <xdr:colOff>117630</xdr:colOff>
      <xdr:row>21</xdr:row>
      <xdr:rowOff>169500</xdr:rowOff>
    </xdr:to>
    <xdr:sp macro="" textlink="">
      <xdr:nvSpPr>
        <xdr:cNvPr id="3" name="Botón Siguiente" descr="Botón Siguiente paso, con un hipervínculo a la siguiente hoja">
          <a:hlinkClick xmlns:r="http://schemas.openxmlformats.org/officeDocument/2006/relationships" r:id="rId6" tooltip="Haga clic aquí para pasar a la siguiente hoja de cálculo.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4895850" y="4162425"/>
          <a:ext cx="1660680" cy="360000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Más</a:t>
          </a:r>
          <a:r>
            <a:rPr lang="es" sz="1200" baseline="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 información</a:t>
          </a:r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 </a:t>
          </a:r>
        </a:p>
      </xdr:txBody>
    </xdr:sp>
    <xdr:clientData/>
  </xdr:twoCellAnchor>
  <xdr:twoCellAnchor editAs="absolute">
    <xdr:from>
      <xdr:col>2</xdr:col>
      <xdr:colOff>0</xdr:colOff>
      <xdr:row>20</xdr:row>
      <xdr:rowOff>0</xdr:rowOff>
    </xdr:from>
    <xdr:to>
      <xdr:col>3</xdr:col>
      <xdr:colOff>294095</xdr:colOff>
      <xdr:row>21</xdr:row>
      <xdr:rowOff>144949</xdr:rowOff>
    </xdr:to>
    <xdr:sp macro="" textlink="">
      <xdr:nvSpPr>
        <xdr:cNvPr id="4" name="BotónAnterior" descr="Volver a la hoja anterior">
          <a:hlinkClick xmlns:r="http://schemas.openxmlformats.org/officeDocument/2006/relationships" r:id="rId7" tooltip="Haga clic aquí para volver a la hoja anterior.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 flipH="1">
          <a:off x="1476375" y="4162425"/>
          <a:ext cx="1265645" cy="335449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s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ic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7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4CA926-211C-46F4-A033-231DAF833682}">
  <we:reference id="56ea8b68-fbaf-4a26-a253-b2384b9d37d3" version="1.0.0.0" store="\\TKYTHOMLAPTOP\Users\t-kythom\Source\Repos\LearnOffice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autoPageBreaks="0"/>
  </sheetPr>
  <dimension ref="A1:A15"/>
  <sheetViews>
    <sheetView showGridLines="0" zoomScale="58" zoomScaleNormal="86" workbookViewId="0">
      <selection activeCell="F20" sqref="F20"/>
    </sheetView>
  </sheetViews>
  <sheetFormatPr baseColWidth="10" defaultColWidth="11.109375" defaultRowHeight="20.25" customHeight="1" x14ac:dyDescent="0.3"/>
  <cols>
    <col min="1" max="1" width="129.6640625" style="17" customWidth="1"/>
    <col min="2" max="2" width="3.5546875" style="17" customWidth="1"/>
    <col min="3" max="16384" width="11.109375" style="17"/>
  </cols>
  <sheetData>
    <row r="1" spans="1:1" ht="10.050000000000001" customHeight="1" x14ac:dyDescent="0.3">
      <c r="A1"/>
    </row>
    <row r="2" spans="1:1" ht="10.050000000000001" customHeight="1" x14ac:dyDescent="0.3">
      <c r="A2"/>
    </row>
    <row r="3" spans="1:1" ht="10.050000000000001" customHeight="1" x14ac:dyDescent="0.3">
      <c r="A3"/>
    </row>
    <row r="4" spans="1:1" ht="10.050000000000001" customHeight="1" x14ac:dyDescent="0.3">
      <c r="A4"/>
    </row>
    <row r="5" spans="1:1" ht="10.050000000000001" customHeight="1" x14ac:dyDescent="0.3">
      <c r="A5"/>
    </row>
    <row r="6" spans="1:1" ht="10.050000000000001" customHeight="1" x14ac:dyDescent="0.3"/>
    <row r="7" spans="1:1" ht="10.050000000000001" customHeight="1" x14ac:dyDescent="0.3"/>
    <row r="8" spans="1:1" ht="10.050000000000001" customHeight="1" x14ac:dyDescent="0.3"/>
    <row r="9" spans="1:1" ht="10.050000000000001" customHeight="1" x14ac:dyDescent="0.3"/>
    <row r="10" spans="1:1" ht="10.050000000000001" customHeight="1" x14ac:dyDescent="0.3"/>
    <row r="11" spans="1:1" ht="10.050000000000001" customHeight="1" x14ac:dyDescent="0.3"/>
    <row r="12" spans="1:1" ht="10.050000000000001" customHeight="1" x14ac:dyDescent="0.3"/>
    <row r="13" spans="1:1" ht="10.050000000000001" customHeight="1" x14ac:dyDescent="0.3"/>
    <row r="14" spans="1:1" ht="10.050000000000001" customHeight="1" x14ac:dyDescent="0.3"/>
    <row r="15" spans="1:1" ht="10.050000000000001" customHeight="1" x14ac:dyDescent="0.3"/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tabColor theme="9" tint="0.79998168889431442"/>
  </sheetPr>
  <dimension ref="A1:J86"/>
  <sheetViews>
    <sheetView showGridLines="0" topLeftCell="A19" zoomScale="93" zoomScaleNormal="130" workbookViewId="0">
      <selection activeCell="C26" sqref="C26"/>
    </sheetView>
  </sheetViews>
  <sheetFormatPr baseColWidth="10" defaultColWidth="9.109375" defaultRowHeight="14.4" x14ac:dyDescent="0.3"/>
  <cols>
    <col min="1" max="1" width="12.6640625" style="3" customWidth="1"/>
    <col min="2" max="2" width="82.88671875" customWidth="1"/>
    <col min="3" max="3" width="18.33203125" bestFit="1" customWidth="1"/>
    <col min="4" max="4" width="2.33203125" customWidth="1"/>
    <col min="5" max="5" width="18" bestFit="1" customWidth="1"/>
    <col min="6" max="6" width="15.6640625" customWidth="1"/>
    <col min="7" max="7" width="13.33203125" customWidth="1"/>
    <col min="11" max="11" width="9.109375" customWidth="1"/>
  </cols>
  <sheetData>
    <row r="1" spans="1:7" ht="60" customHeight="1" x14ac:dyDescent="0.3">
      <c r="A1" s="3" t="s">
        <v>0</v>
      </c>
      <c r="C1" s="6"/>
      <c r="D1" s="12"/>
      <c r="E1" s="12"/>
      <c r="F1" s="12"/>
    </row>
    <row r="2" spans="1:7" ht="15" thickBot="1" x14ac:dyDescent="0.35">
      <c r="A2" s="3" t="s">
        <v>1</v>
      </c>
      <c r="C2" s="7" t="s">
        <v>25</v>
      </c>
      <c r="E2" s="1" t="s">
        <v>26</v>
      </c>
      <c r="F2" s="2" t="s">
        <v>32</v>
      </c>
      <c r="G2" s="2" t="s">
        <v>33</v>
      </c>
    </row>
    <row r="3" spans="1:7" ht="15.6" thickTop="1" thickBot="1" x14ac:dyDescent="0.35">
      <c r="A3" s="3" t="s">
        <v>2</v>
      </c>
      <c r="C3" s="10">
        <v>20</v>
      </c>
      <c r="E3" s="13" t="s">
        <v>27</v>
      </c>
      <c r="F3" s="14">
        <f>C3+C4</f>
        <v>22</v>
      </c>
      <c r="G3" s="9">
        <f>C3+C4</f>
        <v>22</v>
      </c>
    </row>
    <row r="4" spans="1:7" ht="15.6" thickTop="1" thickBot="1" x14ac:dyDescent="0.35">
      <c r="A4" s="3" t="s">
        <v>3</v>
      </c>
      <c r="C4" s="10">
        <v>2</v>
      </c>
      <c r="E4" s="13" t="s">
        <v>28</v>
      </c>
      <c r="F4" s="14">
        <f>C3-C4</f>
        <v>18</v>
      </c>
      <c r="G4" s="9">
        <f>C3-C4</f>
        <v>18</v>
      </c>
    </row>
    <row r="5" spans="1:7" ht="15" thickTop="1" x14ac:dyDescent="0.3">
      <c r="A5" s="3" t="s">
        <v>4</v>
      </c>
      <c r="E5" s="13" t="s">
        <v>29</v>
      </c>
      <c r="F5" s="14">
        <f>C3*C4</f>
        <v>40</v>
      </c>
      <c r="G5" s="9">
        <f>C3*C4</f>
        <v>40</v>
      </c>
    </row>
    <row r="6" spans="1:7" ht="15" thickBot="1" x14ac:dyDescent="0.35">
      <c r="A6" s="3" t="s">
        <v>5</v>
      </c>
      <c r="E6" s="13" t="s">
        <v>30</v>
      </c>
      <c r="F6" s="14">
        <f>C3/C4</f>
        <v>10</v>
      </c>
      <c r="G6" s="9">
        <f>C3/C4</f>
        <v>10</v>
      </c>
    </row>
    <row r="7" spans="1:7" ht="15" customHeight="1" thickTop="1" thickBot="1" x14ac:dyDescent="0.35">
      <c r="A7" s="3" t="s">
        <v>6</v>
      </c>
      <c r="E7" s="13" t="s">
        <v>31</v>
      </c>
      <c r="F7" s="11">
        <f>C3^C4</f>
        <v>400</v>
      </c>
      <c r="G7" s="9">
        <f>C3^C4</f>
        <v>400</v>
      </c>
    </row>
    <row r="8" spans="1:7" ht="15.75" customHeight="1" thickTop="1" x14ac:dyDescent="0.3">
      <c r="A8" s="3" t="s">
        <v>39</v>
      </c>
    </row>
    <row r="9" spans="1:7" x14ac:dyDescent="0.3">
      <c r="A9" s="3" t="s">
        <v>7</v>
      </c>
    </row>
    <row r="10" spans="1:7" x14ac:dyDescent="0.3">
      <c r="A10" s="3" t="s">
        <v>8</v>
      </c>
    </row>
    <row r="11" spans="1:7" x14ac:dyDescent="0.3">
      <c r="A11" s="3" t="s">
        <v>9</v>
      </c>
    </row>
    <row r="12" spans="1:7" x14ac:dyDescent="0.3">
      <c r="A12" s="3" t="s">
        <v>10</v>
      </c>
    </row>
    <row r="13" spans="1:7" ht="15" customHeight="1" x14ac:dyDescent="0.3">
      <c r="A13" s="4" t="s">
        <v>37</v>
      </c>
    </row>
    <row r="14" spans="1:7" x14ac:dyDescent="0.3">
      <c r="A14" s="3" t="s">
        <v>11</v>
      </c>
    </row>
    <row r="15" spans="1:7" x14ac:dyDescent="0.3">
      <c r="A15" s="3" t="s">
        <v>12</v>
      </c>
    </row>
    <row r="16" spans="1:7" x14ac:dyDescent="0.3">
      <c r="A16" s="3" t="s">
        <v>13</v>
      </c>
    </row>
    <row r="17" spans="1:7" x14ac:dyDescent="0.3">
      <c r="A17" s="3" t="s">
        <v>14</v>
      </c>
    </row>
    <row r="18" spans="1:7" ht="15" customHeight="1" x14ac:dyDescent="0.3">
      <c r="A18" s="8" t="s">
        <v>40</v>
      </c>
    </row>
    <row r="19" spans="1:7" x14ac:dyDescent="0.3">
      <c r="A19" s="3" t="s">
        <v>15</v>
      </c>
    </row>
    <row r="20" spans="1:7" x14ac:dyDescent="0.3">
      <c r="A20" s="8" t="s">
        <v>38</v>
      </c>
    </row>
    <row r="21" spans="1:7" ht="15" customHeight="1" x14ac:dyDescent="0.3">
      <c r="A21" s="4" t="s">
        <v>16</v>
      </c>
    </row>
    <row r="22" spans="1:7" x14ac:dyDescent="0.3">
      <c r="A22" s="3" t="s">
        <v>17</v>
      </c>
    </row>
    <row r="23" spans="1:7" x14ac:dyDescent="0.3">
      <c r="A23" s="3" t="s">
        <v>18</v>
      </c>
      <c r="C23" t="s">
        <v>269</v>
      </c>
    </row>
    <row r="24" spans="1:7" x14ac:dyDescent="0.3">
      <c r="A24" s="3" t="s">
        <v>19</v>
      </c>
      <c r="C24" s="195" t="s">
        <v>270</v>
      </c>
      <c r="E24" s="194" t="s">
        <v>266</v>
      </c>
      <c r="F24" s="194" t="s">
        <v>267</v>
      </c>
    </row>
    <row r="25" spans="1:7" ht="32.4" x14ac:dyDescent="0.3">
      <c r="A25" s="3" t="s">
        <v>20</v>
      </c>
      <c r="C25" s="196">
        <f>SUM(E25:F25)</f>
        <v>55</v>
      </c>
      <c r="D25" s="12"/>
      <c r="E25" s="193">
        <v>30</v>
      </c>
      <c r="F25" s="193">
        <v>25</v>
      </c>
      <c r="G25" s="194">
        <f>E25+F25</f>
        <v>55</v>
      </c>
    </row>
    <row r="26" spans="1:7" x14ac:dyDescent="0.3">
      <c r="A26" s="3" t="s">
        <v>21</v>
      </c>
      <c r="E26" t="s">
        <v>268</v>
      </c>
      <c r="F26" t="s">
        <v>268</v>
      </c>
    </row>
    <row r="27" spans="1:7" x14ac:dyDescent="0.3">
      <c r="A27" s="3" t="s">
        <v>22</v>
      </c>
    </row>
    <row r="28" spans="1:7" ht="25.8" x14ac:dyDescent="0.5">
      <c r="A28" s="3" t="s">
        <v>23</v>
      </c>
      <c r="E28" s="5"/>
    </row>
    <row r="29" spans="1:7" x14ac:dyDescent="0.3">
      <c r="A29" s="3" t="s">
        <v>24</v>
      </c>
    </row>
    <row r="40" spans="10:10" x14ac:dyDescent="0.3">
      <c r="J40" s="2" t="s">
        <v>34</v>
      </c>
    </row>
    <row r="41" spans="10:10" x14ac:dyDescent="0.3">
      <c r="J41" s="15">
        <v>4</v>
      </c>
    </row>
    <row r="42" spans="10:10" x14ac:dyDescent="0.3">
      <c r="J42" s="15">
        <v>8</v>
      </c>
    </row>
    <row r="43" spans="10:10" x14ac:dyDescent="0.3">
      <c r="J43" s="16">
        <f>SUM(J41:J42)</f>
        <v>12</v>
      </c>
    </row>
    <row r="86" ht="17.399999999999999" customHeight="1" x14ac:dyDescent="0.3"/>
  </sheetData>
  <phoneticPr fontId="57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theme="9" tint="0.59999389629810485"/>
  </sheetPr>
  <dimension ref="K30:R77"/>
  <sheetViews>
    <sheetView showGridLines="0" topLeftCell="F61" zoomScale="122" zoomScaleNormal="140" workbookViewId="0">
      <selection activeCell="L60" sqref="L60"/>
    </sheetView>
  </sheetViews>
  <sheetFormatPr baseColWidth="10" defaultRowHeight="14.4" x14ac:dyDescent="0.3"/>
  <cols>
    <col min="10" max="10" width="4.5546875" customWidth="1"/>
    <col min="11" max="11" width="14.44140625" customWidth="1"/>
    <col min="15" max="15" width="8.44140625" customWidth="1"/>
    <col min="16" max="16" width="8.6640625" customWidth="1"/>
    <col min="17" max="17" width="4.44140625" customWidth="1"/>
  </cols>
  <sheetData>
    <row r="30" spans="11:18" x14ac:dyDescent="0.3">
      <c r="K30" s="41" t="s">
        <v>63</v>
      </c>
    </row>
    <row r="31" spans="11:18" x14ac:dyDescent="0.3">
      <c r="M31" s="43" t="s">
        <v>64</v>
      </c>
    </row>
    <row r="32" spans="11:18" x14ac:dyDescent="0.3">
      <c r="K32" t="s">
        <v>65</v>
      </c>
      <c r="L32" s="178">
        <f>P32+R32</f>
        <v>4.666666666666667</v>
      </c>
      <c r="M32" s="44" t="s">
        <v>66</v>
      </c>
      <c r="P32" s="45">
        <v>4</v>
      </c>
      <c r="R32" s="46">
        <v>0.66666666666666696</v>
      </c>
    </row>
    <row r="33" spans="11:18" ht="7.2" customHeight="1" x14ac:dyDescent="0.3">
      <c r="M33" s="44"/>
    </row>
    <row r="34" spans="11:18" x14ac:dyDescent="0.3">
      <c r="K34" t="s">
        <v>67</v>
      </c>
      <c r="L34" s="178">
        <f>P34-R34</f>
        <v>0.38095238095238093</v>
      </c>
      <c r="M34" s="44" t="s">
        <v>68</v>
      </c>
      <c r="P34" s="46">
        <v>0.66666666666666663</v>
      </c>
      <c r="R34" s="46">
        <v>0.2857142857142857</v>
      </c>
    </row>
    <row r="35" spans="11:18" ht="7.2" customHeight="1" x14ac:dyDescent="0.3">
      <c r="M35" s="44"/>
    </row>
    <row r="36" spans="11:18" x14ac:dyDescent="0.3">
      <c r="K36" t="s">
        <v>74</v>
      </c>
      <c r="L36" s="42">
        <f>P36-1</f>
        <v>9</v>
      </c>
      <c r="M36" s="44" t="s">
        <v>75</v>
      </c>
      <c r="P36" s="45">
        <v>10</v>
      </c>
    </row>
    <row r="37" spans="11:18" ht="7.2" customHeight="1" x14ac:dyDescent="0.3">
      <c r="M37" s="44"/>
    </row>
    <row r="38" spans="11:18" x14ac:dyDescent="0.3">
      <c r="K38" t="s">
        <v>69</v>
      </c>
      <c r="L38" s="42">
        <f>P38*R38</f>
        <v>750</v>
      </c>
      <c r="M38" s="44" t="s">
        <v>76</v>
      </c>
      <c r="P38" s="45">
        <v>0.75</v>
      </c>
      <c r="R38" s="45">
        <v>1000</v>
      </c>
    </row>
    <row r="39" spans="11:18" ht="7.2" customHeight="1" x14ac:dyDescent="0.3">
      <c r="M39" s="44"/>
    </row>
    <row r="40" spans="11:18" x14ac:dyDescent="0.3">
      <c r="K40" t="s">
        <v>70</v>
      </c>
      <c r="L40" s="42">
        <f>P40/R40</f>
        <v>7</v>
      </c>
      <c r="M40" s="44" t="s">
        <v>77</v>
      </c>
      <c r="P40" s="45">
        <v>63</v>
      </c>
      <c r="R40" s="45">
        <v>9</v>
      </c>
    </row>
    <row r="41" spans="11:18" ht="7.2" customHeight="1" x14ac:dyDescent="0.3">
      <c r="M41" s="44"/>
    </row>
    <row r="42" spans="11:18" x14ac:dyDescent="0.3">
      <c r="K42" t="s">
        <v>71</v>
      </c>
      <c r="L42" s="42">
        <f>P42*R42</f>
        <v>410</v>
      </c>
      <c r="M42" s="44" t="s">
        <v>78</v>
      </c>
      <c r="P42" s="47">
        <v>0.41</v>
      </c>
      <c r="R42" s="45">
        <v>1000</v>
      </c>
    </row>
    <row r="43" spans="11:18" ht="7.2" customHeight="1" x14ac:dyDescent="0.3">
      <c r="M43" s="44"/>
    </row>
    <row r="44" spans="11:18" x14ac:dyDescent="0.3">
      <c r="K44" t="s">
        <v>72</v>
      </c>
      <c r="L44" s="42">
        <f>P44^R44</f>
        <v>8</v>
      </c>
      <c r="M44" s="44" t="s">
        <v>73</v>
      </c>
      <c r="P44" s="45">
        <v>2</v>
      </c>
      <c r="R44" s="45">
        <v>3</v>
      </c>
    </row>
    <row r="47" spans="11:18" x14ac:dyDescent="0.3">
      <c r="K47" s="41" t="s">
        <v>79</v>
      </c>
    </row>
    <row r="48" spans="11:18" x14ac:dyDescent="0.3">
      <c r="M48" s="43" t="s">
        <v>80</v>
      </c>
    </row>
    <row r="49" spans="11:18" x14ac:dyDescent="0.3">
      <c r="K49" t="s">
        <v>81</v>
      </c>
      <c r="L49" s="42" t="b">
        <f>P49=R49</f>
        <v>1</v>
      </c>
      <c r="M49" s="44" t="s">
        <v>82</v>
      </c>
      <c r="P49" s="45">
        <v>0.75</v>
      </c>
      <c r="R49" s="46">
        <v>0.75</v>
      </c>
    </row>
    <row r="50" spans="11:18" ht="7.2" customHeight="1" x14ac:dyDescent="0.3">
      <c r="M50" s="44"/>
    </row>
    <row r="51" spans="11:18" x14ac:dyDescent="0.3">
      <c r="K51" t="s">
        <v>83</v>
      </c>
      <c r="L51" s="42" t="b">
        <f>P51&gt;R51</f>
        <v>1</v>
      </c>
      <c r="M51" s="44" t="s">
        <v>84</v>
      </c>
      <c r="P51" s="49">
        <v>0.59</v>
      </c>
      <c r="R51" s="46">
        <v>0.4</v>
      </c>
    </row>
    <row r="52" spans="11:18" ht="7.2" customHeight="1" x14ac:dyDescent="0.3">
      <c r="M52" s="44"/>
    </row>
    <row r="53" spans="11:18" x14ac:dyDescent="0.3">
      <c r="K53" t="s">
        <v>85</v>
      </c>
      <c r="L53" s="42" t="b">
        <f>P53&lt;R53</f>
        <v>1</v>
      </c>
      <c r="M53" s="44" t="s">
        <v>86</v>
      </c>
      <c r="P53" s="47">
        <v>0.39</v>
      </c>
      <c r="R53" s="45">
        <v>0.4</v>
      </c>
    </row>
    <row r="54" spans="11:18" ht="7.2" customHeight="1" x14ac:dyDescent="0.3">
      <c r="M54" s="44"/>
    </row>
    <row r="55" spans="11:18" x14ac:dyDescent="0.3">
      <c r="K55" t="s">
        <v>87</v>
      </c>
      <c r="L55" s="42" t="b">
        <f>P55&gt;=R55</f>
        <v>1</v>
      </c>
      <c r="M55" s="44" t="s">
        <v>88</v>
      </c>
      <c r="P55" s="45">
        <v>0.29998999999999998</v>
      </c>
      <c r="R55" s="46">
        <v>0.14285714285714285</v>
      </c>
    </row>
    <row r="56" spans="11:18" ht="7.2" customHeight="1" x14ac:dyDescent="0.3">
      <c r="M56" s="44"/>
    </row>
    <row r="57" spans="11:18" x14ac:dyDescent="0.3">
      <c r="K57" t="s">
        <v>89</v>
      </c>
      <c r="L57" s="42" t="b">
        <f>P57&lt;=R57</f>
        <v>1</v>
      </c>
      <c r="M57" s="44" t="s">
        <v>90</v>
      </c>
      <c r="P57" s="46">
        <v>0.16666666666666666</v>
      </c>
      <c r="R57" s="45">
        <v>0.24</v>
      </c>
    </row>
    <row r="58" spans="11:18" ht="7.2" customHeight="1" x14ac:dyDescent="0.3">
      <c r="M58" s="44"/>
    </row>
    <row r="59" spans="11:18" x14ac:dyDescent="0.3">
      <c r="K59" t="s">
        <v>91</v>
      </c>
      <c r="L59" s="42" t="b">
        <f>P59&lt;&gt;R59</f>
        <v>0</v>
      </c>
      <c r="M59" s="44" t="s">
        <v>92</v>
      </c>
      <c r="P59" s="51">
        <v>2.5000000000000001E-2</v>
      </c>
      <c r="R59" s="50">
        <f>2.5/100</f>
        <v>2.5000000000000001E-2</v>
      </c>
    </row>
    <row r="62" spans="11:18" x14ac:dyDescent="0.3">
      <c r="K62" s="41" t="s">
        <v>93</v>
      </c>
    </row>
    <row r="64" spans="11:18" x14ac:dyDescent="0.3">
      <c r="K64" s="55" t="s">
        <v>94</v>
      </c>
      <c r="L64" s="54" t="s">
        <v>95</v>
      </c>
      <c r="O64" s="55" t="s">
        <v>96</v>
      </c>
      <c r="P64" s="54" t="s">
        <v>99</v>
      </c>
    </row>
    <row r="66" spans="11:18" ht="30" customHeight="1" x14ac:dyDescent="0.3">
      <c r="K66" s="52" t="s">
        <v>97</v>
      </c>
      <c r="L66" s="185" t="str">
        <f>L64 &amp; " "&amp;P64</f>
        <v>La constante práctica perfecciona</v>
      </c>
      <c r="M66" s="186"/>
      <c r="N66" s="187"/>
      <c r="O66" s="56" t="s">
        <v>98</v>
      </c>
    </row>
    <row r="67" spans="11:18" ht="7.2" customHeight="1" x14ac:dyDescent="0.3"/>
    <row r="68" spans="11:18" ht="30" customHeight="1" x14ac:dyDescent="0.3">
      <c r="K68" s="52" t="s">
        <v>97</v>
      </c>
      <c r="L68" s="185" t="str">
        <f>"Excel te da Poder "&amp;R68</f>
        <v>Excel te da Poder y muchas oportunidades</v>
      </c>
      <c r="M68" s="186"/>
      <c r="N68" s="187"/>
      <c r="R68" s="57" t="s">
        <v>100</v>
      </c>
    </row>
    <row r="70" spans="11:18" x14ac:dyDescent="0.3">
      <c r="L70" s="53"/>
    </row>
    <row r="71" spans="11:18" x14ac:dyDescent="0.3">
      <c r="K71" s="41" t="s">
        <v>101</v>
      </c>
    </row>
    <row r="73" spans="11:18" x14ac:dyDescent="0.3">
      <c r="K73" t="s">
        <v>102</v>
      </c>
      <c r="L73" s="58"/>
      <c r="N73" s="45">
        <v>10</v>
      </c>
      <c r="P73" s="45">
        <v>50</v>
      </c>
    </row>
    <row r="74" spans="11:18" x14ac:dyDescent="0.3">
      <c r="N74" s="45">
        <v>50</v>
      </c>
      <c r="P74" s="45">
        <v>130</v>
      </c>
    </row>
    <row r="75" spans="11:18" x14ac:dyDescent="0.3">
      <c r="K75" t="s">
        <v>103</v>
      </c>
      <c r="L75" s="58"/>
      <c r="N75" s="45">
        <v>40</v>
      </c>
      <c r="O75" s="45">
        <v>90</v>
      </c>
      <c r="P75" s="45">
        <v>70</v>
      </c>
    </row>
    <row r="76" spans="11:18" x14ac:dyDescent="0.3">
      <c r="N76" s="45">
        <v>70</v>
      </c>
    </row>
    <row r="77" spans="11:18" x14ac:dyDescent="0.3">
      <c r="K77" t="s">
        <v>104</v>
      </c>
      <c r="L77" s="58"/>
      <c r="N77" s="45">
        <v>30</v>
      </c>
    </row>
  </sheetData>
  <mergeCells count="2">
    <mergeCell ref="L66:N66"/>
    <mergeCell ref="L68:N68"/>
  </mergeCells>
  <conditionalFormatting sqref="L49 L51 L53 L55 L57 L59">
    <cfRule type="cellIs" dxfId="6" priority="7" stopIfTrue="1" operator="equal">
      <formula>TRUE</formula>
    </cfRule>
    <cfRule type="cellIs" dxfId="5" priority="8" stopIfTrue="1" operator="equal">
      <formula>FALSE</formula>
    </cfRule>
  </conditionalFormatting>
  <conditionalFormatting sqref="L66">
    <cfRule type="cellIs" dxfId="4" priority="5" stopIfTrue="1" operator="equal">
      <formula>TRUE</formula>
    </cfRule>
    <cfRule type="cellIs" dxfId="3" priority="6" stopIfTrue="1" operator="equal">
      <formula>FALSE</formula>
    </cfRule>
  </conditionalFormatting>
  <conditionalFormatting sqref="L68">
    <cfRule type="cellIs" dxfId="2" priority="3" stopIfTrue="1" operator="equal">
      <formula>TRUE</formula>
    </cfRule>
    <cfRule type="cellIs" dxfId="1" priority="4" stopIfTrue="1" operator="equal">
      <formula>FALSE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theme="9" tint="0.39997558519241921"/>
  </sheetPr>
  <dimension ref="B11:L16"/>
  <sheetViews>
    <sheetView showGridLines="0" topLeftCell="A9" zoomScale="97" zoomScaleNormal="160" workbookViewId="0">
      <selection activeCell="L13" sqref="L13"/>
    </sheetView>
  </sheetViews>
  <sheetFormatPr baseColWidth="10" defaultColWidth="11.44140625" defaultRowHeight="14.4" x14ac:dyDescent="0.3"/>
  <cols>
    <col min="1" max="16384" width="11.44140625" style="18"/>
  </cols>
  <sheetData>
    <row r="11" spans="2:12" x14ac:dyDescent="0.3">
      <c r="J11" s="19" t="s">
        <v>46</v>
      </c>
      <c r="L11" s="19"/>
    </row>
    <row r="12" spans="2:12" ht="18" x14ac:dyDescent="0.35">
      <c r="B12" s="20" t="s">
        <v>41</v>
      </c>
      <c r="C12" s="21"/>
      <c r="D12" s="21"/>
      <c r="E12" s="22">
        <f xml:space="preserve"> 3*6+12/4-2</f>
        <v>19</v>
      </c>
      <c r="F12" s="21"/>
      <c r="G12" s="21"/>
      <c r="H12" s="21"/>
      <c r="J12" s="24">
        <f>3*6+12/4-2</f>
        <v>19</v>
      </c>
      <c r="K12" s="23" t="str">
        <f>IF($E12=$J12,"♥ Muy Bien","")</f>
        <v>♥ Muy Bien</v>
      </c>
      <c r="L12" s="25"/>
    </row>
    <row r="13" spans="2:12" ht="18" x14ac:dyDescent="0.35">
      <c r="B13" s="20" t="s">
        <v>42</v>
      </c>
      <c r="C13" s="21"/>
      <c r="D13" s="21"/>
      <c r="E13" s="22">
        <f xml:space="preserve"> (3*6)+12/(4-2)</f>
        <v>24</v>
      </c>
      <c r="F13" s="21"/>
      <c r="G13" s="21"/>
      <c r="H13" s="21"/>
      <c r="J13" s="24">
        <f>(3*6)+12/(4-2)</f>
        <v>24</v>
      </c>
      <c r="K13" s="23" t="str">
        <f t="shared" ref="K13:K16" si="0">IF($E13=$J13,"♥ Muy Bien","")</f>
        <v>♥ Muy Bien</v>
      </c>
      <c r="L13" s="25"/>
    </row>
    <row r="14" spans="2:12" ht="18" x14ac:dyDescent="0.35">
      <c r="B14" s="20" t="s">
        <v>43</v>
      </c>
      <c r="C14" s="21"/>
      <c r="D14" s="21"/>
      <c r="E14" s="22">
        <f xml:space="preserve"> 3*(6+12)/4-2</f>
        <v>11.5</v>
      </c>
      <c r="F14" s="21"/>
      <c r="G14" s="21"/>
      <c r="H14" s="21"/>
      <c r="J14" s="24">
        <f>3*(6+12)/4-2</f>
        <v>11.5</v>
      </c>
      <c r="K14" s="23" t="str">
        <f t="shared" si="0"/>
        <v>♥ Muy Bien</v>
      </c>
      <c r="L14" s="25"/>
    </row>
    <row r="15" spans="2:12" ht="18" x14ac:dyDescent="0.35">
      <c r="B15" s="20" t="s">
        <v>44</v>
      </c>
      <c r="C15" s="21"/>
      <c r="D15" s="21"/>
      <c r="E15" s="22">
        <f xml:space="preserve"> (3*6+12)/4-2</f>
        <v>5.5</v>
      </c>
      <c r="F15" s="21"/>
      <c r="G15" s="21"/>
      <c r="H15" s="21"/>
      <c r="J15" s="24">
        <f>(3*6+12)/4-2</f>
        <v>5.5</v>
      </c>
      <c r="K15" s="23" t="str">
        <f t="shared" si="0"/>
        <v>♥ Muy Bien</v>
      </c>
      <c r="L15" s="25"/>
    </row>
    <row r="16" spans="2:12" ht="18" x14ac:dyDescent="0.35">
      <c r="B16" s="20" t="s">
        <v>45</v>
      </c>
      <c r="C16" s="21"/>
      <c r="D16" s="21"/>
      <c r="E16" s="22">
        <f xml:space="preserve"> 3*(6+12/4-2)</f>
        <v>21</v>
      </c>
      <c r="F16" s="21"/>
      <c r="G16" s="21"/>
      <c r="H16" s="21"/>
      <c r="J16" s="24">
        <f>3*(6+12/4-2)</f>
        <v>21</v>
      </c>
      <c r="K16" s="23" t="str">
        <f t="shared" si="0"/>
        <v>♥ Muy Bien</v>
      </c>
      <c r="L16" s="2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theme="9" tint="-0.249977111117893"/>
  </sheetPr>
  <dimension ref="J5:O10"/>
  <sheetViews>
    <sheetView showGridLines="0" topLeftCell="A3" zoomScale="109" zoomScaleNormal="170" workbookViewId="0">
      <selection activeCell="M6" sqref="M6:M10"/>
    </sheetView>
  </sheetViews>
  <sheetFormatPr baseColWidth="10" defaultRowHeight="14.4" x14ac:dyDescent="0.3"/>
  <cols>
    <col min="10" max="10" width="10.5546875" customWidth="1"/>
    <col min="11" max="11" width="10.44140625" customWidth="1"/>
    <col min="12" max="12" width="12" customWidth="1"/>
    <col min="13" max="13" width="13.109375" customWidth="1"/>
    <col min="14" max="14" width="8.44140625" customWidth="1"/>
  </cols>
  <sheetData>
    <row r="5" spans="10:15" x14ac:dyDescent="0.3">
      <c r="J5" s="31" t="s">
        <v>47</v>
      </c>
      <c r="K5" s="32" t="s">
        <v>53</v>
      </c>
      <c r="L5" s="32" t="s">
        <v>36</v>
      </c>
      <c r="M5" s="33" t="s">
        <v>35</v>
      </c>
    </row>
    <row r="6" spans="10:15" ht="15.6" x14ac:dyDescent="0.3">
      <c r="J6" s="197" t="s">
        <v>48</v>
      </c>
      <c r="K6" s="27">
        <v>10</v>
      </c>
      <c r="L6" s="9">
        <v>2</v>
      </c>
      <c r="M6" s="34">
        <f>K6*L6</f>
        <v>20</v>
      </c>
      <c r="O6" s="35" t="s">
        <v>260</v>
      </c>
    </row>
    <row r="7" spans="10:15" ht="15.6" x14ac:dyDescent="0.3">
      <c r="J7" s="29" t="s">
        <v>49</v>
      </c>
      <c r="K7" s="27">
        <v>15</v>
      </c>
      <c r="L7" s="9">
        <v>5</v>
      </c>
      <c r="M7" s="34">
        <f t="shared" ref="M7:M10" si="0">K7*L7</f>
        <v>75</v>
      </c>
      <c r="O7" s="35" t="s">
        <v>261</v>
      </c>
    </row>
    <row r="8" spans="10:15" ht="15.6" x14ac:dyDescent="0.3">
      <c r="J8" s="29" t="s">
        <v>50</v>
      </c>
      <c r="K8" s="27">
        <v>20</v>
      </c>
      <c r="L8" s="9">
        <v>6</v>
      </c>
      <c r="M8" s="34">
        <f t="shared" si="0"/>
        <v>120</v>
      </c>
      <c r="O8" s="35" t="s">
        <v>262</v>
      </c>
    </row>
    <row r="9" spans="10:15" ht="15.6" x14ac:dyDescent="0.3">
      <c r="J9" s="29" t="s">
        <v>51</v>
      </c>
      <c r="K9" s="27">
        <v>5</v>
      </c>
      <c r="L9" s="9">
        <v>4</v>
      </c>
      <c r="M9" s="34">
        <f t="shared" si="0"/>
        <v>20</v>
      </c>
      <c r="O9" s="35" t="s">
        <v>263</v>
      </c>
    </row>
    <row r="10" spans="10:15" ht="15.6" x14ac:dyDescent="0.3">
      <c r="J10" s="30" t="s">
        <v>52</v>
      </c>
      <c r="K10" s="28">
        <v>25</v>
      </c>
      <c r="L10" s="26">
        <v>3</v>
      </c>
      <c r="M10" s="34">
        <f t="shared" si="0"/>
        <v>75</v>
      </c>
      <c r="O10" s="35" t="s">
        <v>264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tabColor theme="9" tint="-0.499984740745262"/>
  </sheetPr>
  <dimension ref="J2:O10"/>
  <sheetViews>
    <sheetView showGridLines="0" zoomScale="114" zoomScaleNormal="170" workbookViewId="0">
      <selection activeCell="K3" sqref="K3"/>
    </sheetView>
  </sheetViews>
  <sheetFormatPr baseColWidth="10" defaultRowHeight="14.4" x14ac:dyDescent="0.3"/>
  <cols>
    <col min="1" max="1" width="11.44140625" customWidth="1"/>
    <col min="10" max="10" width="11.5546875" customWidth="1"/>
    <col min="11" max="11" width="10.44140625" customWidth="1"/>
    <col min="12" max="12" width="12" customWidth="1"/>
    <col min="13" max="13" width="14.44140625" bestFit="1" customWidth="1"/>
    <col min="14" max="14" width="8.44140625" customWidth="1"/>
  </cols>
  <sheetData>
    <row r="2" spans="10:15" x14ac:dyDescent="0.3">
      <c r="J2" s="33" t="s">
        <v>61</v>
      </c>
      <c r="K2" s="9">
        <v>3.5</v>
      </c>
    </row>
    <row r="5" spans="10:15" x14ac:dyDescent="0.3">
      <c r="J5" s="31" t="s">
        <v>54</v>
      </c>
      <c r="K5" s="31" t="s">
        <v>47</v>
      </c>
      <c r="L5" s="33" t="s">
        <v>62</v>
      </c>
      <c r="M5" s="33" t="s">
        <v>55</v>
      </c>
    </row>
    <row r="6" spans="10:15" ht="15.6" x14ac:dyDescent="0.3">
      <c r="J6" s="37">
        <f t="shared" ref="J6:J8" ca="1" si="0">J7-1</f>
        <v>46258</v>
      </c>
      <c r="K6" s="38" t="s">
        <v>48</v>
      </c>
      <c r="L6" s="9">
        <v>20</v>
      </c>
      <c r="M6" s="40">
        <f>L6*$K$2</f>
        <v>70</v>
      </c>
      <c r="O6" s="35" t="s">
        <v>56</v>
      </c>
    </row>
    <row r="7" spans="10:15" ht="15.6" x14ac:dyDescent="0.3">
      <c r="J7" s="37">
        <f t="shared" ca="1" si="0"/>
        <v>46259</v>
      </c>
      <c r="K7" s="38" t="s">
        <v>49</v>
      </c>
      <c r="L7" s="9">
        <v>75</v>
      </c>
      <c r="M7" s="40">
        <f>L7*$K$2</f>
        <v>262.5</v>
      </c>
      <c r="O7" s="35" t="s">
        <v>57</v>
      </c>
    </row>
    <row r="8" spans="10:15" ht="15.6" x14ac:dyDescent="0.3">
      <c r="J8" s="37">
        <f t="shared" ca="1" si="0"/>
        <v>46260</v>
      </c>
      <c r="K8" s="38" t="s">
        <v>50</v>
      </c>
      <c r="L8" s="9">
        <v>120</v>
      </c>
      <c r="M8" s="40">
        <f>L8*$K$2</f>
        <v>420</v>
      </c>
      <c r="O8" s="35" t="s">
        <v>58</v>
      </c>
    </row>
    <row r="9" spans="10:15" ht="15.6" x14ac:dyDescent="0.3">
      <c r="J9" s="37">
        <f ca="1">J10-1</f>
        <v>46261</v>
      </c>
      <c r="K9" s="38" t="s">
        <v>51</v>
      </c>
      <c r="L9" s="9">
        <v>20</v>
      </c>
      <c r="M9" s="40">
        <f t="shared" ref="M7:M10" si="1">L9*$K$2</f>
        <v>70</v>
      </c>
      <c r="O9" s="35" t="s">
        <v>59</v>
      </c>
    </row>
    <row r="10" spans="10:15" ht="15.6" x14ac:dyDescent="0.3">
      <c r="J10" s="36">
        <f ca="1">TODAY()</f>
        <v>46262</v>
      </c>
      <c r="K10" s="39" t="s">
        <v>52</v>
      </c>
      <c r="L10" s="26">
        <v>75</v>
      </c>
      <c r="M10" s="40">
        <f t="shared" si="1"/>
        <v>262.5</v>
      </c>
      <c r="O10" s="35" t="s">
        <v>60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theme="9" tint="-0.499984740745262"/>
  </sheetPr>
  <dimension ref="B22:G33"/>
  <sheetViews>
    <sheetView showGridLines="0" tabSelected="1" topLeftCell="A18" zoomScale="139" zoomScaleNormal="145" workbookViewId="0">
      <selection activeCell="C26" sqref="C26"/>
    </sheetView>
  </sheetViews>
  <sheetFormatPr baseColWidth="10" defaultRowHeight="14.4" x14ac:dyDescent="0.3"/>
  <cols>
    <col min="1" max="1" width="11.44140625" customWidth="1"/>
    <col min="10" max="10" width="11.5546875" customWidth="1"/>
    <col min="11" max="11" width="10.44140625" customWidth="1"/>
    <col min="12" max="12" width="12" customWidth="1"/>
    <col min="13" max="13" width="14.44140625" bestFit="1" customWidth="1"/>
    <col min="14" max="14" width="8.44140625" customWidth="1"/>
  </cols>
  <sheetData>
    <row r="22" spans="2:7" x14ac:dyDescent="0.3">
      <c r="B22" t="s">
        <v>258</v>
      </c>
      <c r="C22" s="176">
        <v>0.02</v>
      </c>
      <c r="D22" s="176">
        <v>0.05</v>
      </c>
    </row>
    <row r="24" spans="2:7" x14ac:dyDescent="0.3">
      <c r="B24" s="31" t="s">
        <v>259</v>
      </c>
      <c r="C24" s="31" t="s">
        <v>133</v>
      </c>
      <c r="D24" s="31" t="s">
        <v>134</v>
      </c>
    </row>
    <row r="25" spans="2:7" x14ac:dyDescent="0.3">
      <c r="B25" s="177">
        <v>50000</v>
      </c>
      <c r="C25" s="177"/>
      <c r="D25" s="177">
        <f>B25+C$22*D22</f>
        <v>50000.000999999997</v>
      </c>
    </row>
    <row r="26" spans="2:7" x14ac:dyDescent="0.3">
      <c r="B26" s="177">
        <v>10000</v>
      </c>
      <c r="C26" s="177"/>
      <c r="D26" s="177">
        <f>B26+C$22*$D$22</f>
        <v>10000.001</v>
      </c>
    </row>
    <row r="27" spans="2:7" x14ac:dyDescent="0.3">
      <c r="B27" s="177">
        <v>20000</v>
      </c>
      <c r="C27" s="177"/>
      <c r="D27" s="177">
        <f>B27+C$22*$D$22</f>
        <v>20000.001</v>
      </c>
    </row>
    <row r="31" spans="2:7" x14ac:dyDescent="0.3">
      <c r="B31" t="s">
        <v>258</v>
      </c>
      <c r="D31" s="31" t="s">
        <v>259</v>
      </c>
      <c r="E31" s="177">
        <v>50000</v>
      </c>
      <c r="F31" s="177">
        <v>10000</v>
      </c>
      <c r="G31" s="177">
        <v>20000</v>
      </c>
    </row>
    <row r="32" spans="2:7" x14ac:dyDescent="0.3">
      <c r="B32" s="176">
        <v>0.02</v>
      </c>
      <c r="D32" s="31" t="s">
        <v>133</v>
      </c>
      <c r="E32" s="177"/>
      <c r="F32" s="177"/>
      <c r="G32" s="177"/>
    </row>
    <row r="33" spans="2:7" x14ac:dyDescent="0.3">
      <c r="B33" s="176">
        <v>0.05</v>
      </c>
      <c r="D33" s="31" t="s">
        <v>134</v>
      </c>
      <c r="E33" s="177"/>
      <c r="F33" s="177"/>
      <c r="G33" s="17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tabColor theme="9" tint="0.39997558519241921"/>
  </sheetPr>
  <dimension ref="B9:E14"/>
  <sheetViews>
    <sheetView showGridLines="0" topLeftCell="A4" zoomScale="109" zoomScaleNormal="160" workbookViewId="0">
      <selection activeCell="D10" sqref="D10:E14"/>
    </sheetView>
  </sheetViews>
  <sheetFormatPr baseColWidth="10" defaultRowHeight="14.4" x14ac:dyDescent="0.3"/>
  <sheetData>
    <row r="9" spans="2:5" ht="15.6" x14ac:dyDescent="0.3">
      <c r="B9" s="59" t="s">
        <v>105</v>
      </c>
      <c r="C9" s="59" t="s">
        <v>53</v>
      </c>
      <c r="D9" s="59" t="s">
        <v>106</v>
      </c>
      <c r="E9" s="59" t="s">
        <v>35</v>
      </c>
    </row>
    <row r="10" spans="2:5" x14ac:dyDescent="0.3">
      <c r="B10" s="60" t="s">
        <v>107</v>
      </c>
      <c r="C10" s="60">
        <v>5.2</v>
      </c>
      <c r="D10" s="60"/>
      <c r="E10" s="60"/>
    </row>
    <row r="11" spans="2:5" x14ac:dyDescent="0.3">
      <c r="B11" s="61" t="s">
        <v>108</v>
      </c>
      <c r="C11" s="61">
        <v>3.4</v>
      </c>
      <c r="D11" s="61"/>
      <c r="E11" s="61"/>
    </row>
    <row r="12" spans="2:5" x14ac:dyDescent="0.3">
      <c r="B12" s="62" t="s">
        <v>109</v>
      </c>
      <c r="C12" s="62">
        <v>3</v>
      </c>
      <c r="D12" s="62"/>
      <c r="E12" s="62"/>
    </row>
    <row r="13" spans="2:5" x14ac:dyDescent="0.3">
      <c r="B13" s="61" t="s">
        <v>110</v>
      </c>
      <c r="C13" s="61">
        <v>6</v>
      </c>
      <c r="D13" s="61"/>
      <c r="E13" s="61"/>
    </row>
    <row r="14" spans="2:5" x14ac:dyDescent="0.3">
      <c r="B14" s="63" t="s">
        <v>111</v>
      </c>
      <c r="C14" s="63">
        <v>4</v>
      </c>
      <c r="D14" s="63"/>
      <c r="E14" s="63"/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tabColor theme="9" tint="0.39997558519241921"/>
  </sheetPr>
  <dimension ref="B9:E15"/>
  <sheetViews>
    <sheetView showGridLines="0" zoomScale="121" zoomScaleNormal="160" workbookViewId="0">
      <selection activeCell="E10" sqref="E10:E15"/>
    </sheetView>
  </sheetViews>
  <sheetFormatPr baseColWidth="10" defaultRowHeight="14.4" x14ac:dyDescent="0.3"/>
  <sheetData>
    <row r="9" spans="2:5" ht="15.6" x14ac:dyDescent="0.3">
      <c r="B9" s="59" t="s">
        <v>105</v>
      </c>
      <c r="C9" s="59" t="s">
        <v>112</v>
      </c>
      <c r="D9" s="59" t="s">
        <v>113</v>
      </c>
      <c r="E9" s="59" t="s">
        <v>114</v>
      </c>
    </row>
    <row r="10" spans="2:5" x14ac:dyDescent="0.3">
      <c r="B10" s="60" t="s">
        <v>115</v>
      </c>
      <c r="C10" s="60">
        <v>250</v>
      </c>
      <c r="D10" s="60">
        <v>242</v>
      </c>
      <c r="E10" s="60"/>
    </row>
    <row r="11" spans="2:5" x14ac:dyDescent="0.3">
      <c r="B11" s="61" t="s">
        <v>116</v>
      </c>
      <c r="C11" s="61">
        <v>356</v>
      </c>
      <c r="D11" s="61">
        <v>79</v>
      </c>
      <c r="E11" s="61"/>
    </row>
    <row r="12" spans="2:5" x14ac:dyDescent="0.3">
      <c r="B12" s="62" t="s">
        <v>117</v>
      </c>
      <c r="C12" s="62">
        <v>125</v>
      </c>
      <c r="D12" s="62">
        <v>57</v>
      </c>
      <c r="E12" s="62"/>
    </row>
    <row r="13" spans="2:5" x14ac:dyDescent="0.3">
      <c r="B13" s="61" t="s">
        <v>118</v>
      </c>
      <c r="C13" s="61">
        <v>489</v>
      </c>
      <c r="D13" s="61">
        <v>103</v>
      </c>
      <c r="E13" s="61"/>
    </row>
    <row r="14" spans="2:5" x14ac:dyDescent="0.3">
      <c r="B14" s="62" t="s">
        <v>119</v>
      </c>
      <c r="C14" s="62">
        <v>145</v>
      </c>
      <c r="D14" s="62">
        <v>140</v>
      </c>
      <c r="E14" s="62"/>
    </row>
    <row r="15" spans="2:5" x14ac:dyDescent="0.3">
      <c r="B15" s="61" t="s">
        <v>120</v>
      </c>
      <c r="C15" s="61">
        <v>126</v>
      </c>
      <c r="D15" s="61">
        <v>124</v>
      </c>
      <c r="E15" s="61"/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>
    <tabColor theme="9" tint="0.39997558519241921"/>
  </sheetPr>
  <dimension ref="B9:E15"/>
  <sheetViews>
    <sheetView showGridLines="0" zoomScale="98" zoomScaleNormal="160" workbookViewId="0">
      <selection activeCell="G14" sqref="G14"/>
    </sheetView>
  </sheetViews>
  <sheetFormatPr baseColWidth="10" defaultRowHeight="14.4" x14ac:dyDescent="0.3"/>
  <cols>
    <col min="2" max="2" width="18.44140625" customWidth="1"/>
    <col min="3" max="5" width="13.6640625" customWidth="1"/>
  </cols>
  <sheetData>
    <row r="9" spans="2:5" ht="15.6" x14ac:dyDescent="0.3">
      <c r="B9" s="59" t="s">
        <v>121</v>
      </c>
      <c r="C9" s="59" t="s">
        <v>129</v>
      </c>
      <c r="D9" s="59" t="s">
        <v>130</v>
      </c>
      <c r="E9" s="59" t="s">
        <v>122</v>
      </c>
    </row>
    <row r="10" spans="2:5" x14ac:dyDescent="0.3">
      <c r="B10" s="60" t="s">
        <v>123</v>
      </c>
      <c r="C10" s="60">
        <v>67.58</v>
      </c>
      <c r="D10" s="60">
        <v>113.09</v>
      </c>
      <c r="E10" s="64"/>
    </row>
    <row r="11" spans="2:5" x14ac:dyDescent="0.3">
      <c r="B11" s="61" t="s">
        <v>124</v>
      </c>
      <c r="C11" s="61">
        <v>101.34</v>
      </c>
      <c r="D11" s="61">
        <v>78.540000000000006</v>
      </c>
      <c r="E11" s="65"/>
    </row>
    <row r="12" spans="2:5" x14ac:dyDescent="0.3">
      <c r="B12" s="62" t="s">
        <v>125</v>
      </c>
      <c r="C12" s="62">
        <v>47.43</v>
      </c>
      <c r="D12" s="62">
        <v>57.46</v>
      </c>
      <c r="E12" s="66"/>
    </row>
    <row r="13" spans="2:5" x14ac:dyDescent="0.3">
      <c r="B13" s="61" t="s">
        <v>126</v>
      </c>
      <c r="C13" s="61">
        <v>98.46</v>
      </c>
      <c r="D13" s="61">
        <v>102.54</v>
      </c>
      <c r="E13" s="65"/>
    </row>
    <row r="14" spans="2:5" x14ac:dyDescent="0.3">
      <c r="B14" s="62" t="s">
        <v>127</v>
      </c>
      <c r="C14" s="62">
        <v>245</v>
      </c>
      <c r="D14" s="62">
        <v>198.75</v>
      </c>
      <c r="E14" s="66"/>
    </row>
    <row r="15" spans="2:5" x14ac:dyDescent="0.3">
      <c r="B15" s="61" t="s">
        <v>128</v>
      </c>
      <c r="C15" s="61">
        <v>126</v>
      </c>
      <c r="D15" s="61">
        <v>123.54</v>
      </c>
      <c r="E15" s="65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>
    <tabColor theme="9" tint="0.39997558519241921"/>
  </sheetPr>
  <dimension ref="B9:J18"/>
  <sheetViews>
    <sheetView showGridLines="0" zoomScale="93" zoomScaleNormal="140" workbookViewId="0">
      <selection activeCell="H22" sqref="H22"/>
    </sheetView>
  </sheetViews>
  <sheetFormatPr baseColWidth="10" defaultRowHeight="14.4" x14ac:dyDescent="0.3"/>
  <cols>
    <col min="3" max="3" width="15.44140625" customWidth="1"/>
    <col min="4" max="5" width="12.6640625" customWidth="1"/>
    <col min="6" max="6" width="15.6640625" customWidth="1"/>
    <col min="7" max="8" width="12.6640625" customWidth="1"/>
    <col min="9" max="10" width="15.6640625" customWidth="1"/>
  </cols>
  <sheetData>
    <row r="9" spans="2:10" x14ac:dyDescent="0.3">
      <c r="B9" s="54" t="s">
        <v>145</v>
      </c>
    </row>
    <row r="11" spans="2:10" ht="15.6" x14ac:dyDescent="0.3">
      <c r="B11" s="59" t="s">
        <v>131</v>
      </c>
      <c r="C11" s="59" t="s">
        <v>132</v>
      </c>
      <c r="D11" s="59" t="s">
        <v>133</v>
      </c>
      <c r="E11" s="59" t="s">
        <v>134</v>
      </c>
      <c r="F11" s="59" t="s">
        <v>135</v>
      </c>
      <c r="G11" s="59" t="s">
        <v>136</v>
      </c>
      <c r="H11" s="59" t="s">
        <v>137</v>
      </c>
      <c r="I11" s="59" t="s">
        <v>138</v>
      </c>
      <c r="J11" s="59" t="s">
        <v>139</v>
      </c>
    </row>
    <row r="12" spans="2:10" x14ac:dyDescent="0.3">
      <c r="B12" s="60" t="s">
        <v>140</v>
      </c>
      <c r="C12" s="73" t="s">
        <v>141</v>
      </c>
      <c r="D12" s="67">
        <v>72133</v>
      </c>
      <c r="E12" s="67">
        <v>34243</v>
      </c>
      <c r="F12" s="68"/>
      <c r="G12" s="67">
        <v>33404</v>
      </c>
      <c r="H12" s="67">
        <v>34439</v>
      </c>
      <c r="I12" s="68"/>
      <c r="J12" s="68"/>
    </row>
    <row r="13" spans="2:10" x14ac:dyDescent="0.3">
      <c r="B13" s="61" t="s">
        <v>140</v>
      </c>
      <c r="C13" s="74" t="s">
        <v>142</v>
      </c>
      <c r="D13" s="69">
        <v>77212</v>
      </c>
      <c r="E13" s="69">
        <v>42569</v>
      </c>
      <c r="F13" s="70"/>
      <c r="G13" s="69">
        <v>43846</v>
      </c>
      <c r="H13" s="69">
        <v>46516</v>
      </c>
      <c r="I13" s="70"/>
      <c r="J13" s="70"/>
    </row>
    <row r="14" spans="2:10" x14ac:dyDescent="0.3">
      <c r="B14" s="62" t="s">
        <v>140</v>
      </c>
      <c r="C14" s="75" t="s">
        <v>143</v>
      </c>
      <c r="D14" s="71">
        <v>27242</v>
      </c>
      <c r="E14" s="71">
        <v>35689</v>
      </c>
      <c r="F14" s="72"/>
      <c r="G14" s="71">
        <v>42485</v>
      </c>
      <c r="H14" s="71">
        <v>57253</v>
      </c>
      <c r="I14" s="72"/>
      <c r="J14" s="72"/>
    </row>
    <row r="15" spans="2:10" x14ac:dyDescent="0.3">
      <c r="B15" s="61" t="s">
        <v>144</v>
      </c>
      <c r="C15" s="74" t="s">
        <v>141</v>
      </c>
      <c r="D15" s="69">
        <v>43244</v>
      </c>
      <c r="E15" s="69">
        <v>12654</v>
      </c>
      <c r="F15" s="70"/>
      <c r="G15" s="69">
        <v>59291</v>
      </c>
      <c r="H15" s="69">
        <v>62902</v>
      </c>
      <c r="I15" s="70"/>
      <c r="J15" s="70"/>
    </row>
    <row r="16" spans="2:10" x14ac:dyDescent="0.3">
      <c r="B16" s="62" t="s">
        <v>144</v>
      </c>
      <c r="C16" s="75" t="s">
        <v>143</v>
      </c>
      <c r="D16" s="71">
        <v>34344</v>
      </c>
      <c r="E16" s="71">
        <v>28975</v>
      </c>
      <c r="F16" s="72"/>
      <c r="G16" s="71">
        <v>70553</v>
      </c>
      <c r="H16" s="71">
        <v>74355</v>
      </c>
      <c r="I16" s="72"/>
      <c r="J16" s="72"/>
    </row>
    <row r="17" spans="2:10" x14ac:dyDescent="0.3">
      <c r="B17" s="76" t="s">
        <v>144</v>
      </c>
      <c r="C17" s="77" t="s">
        <v>142</v>
      </c>
      <c r="D17" s="78">
        <v>34625</v>
      </c>
      <c r="E17" s="78">
        <v>26652</v>
      </c>
      <c r="F17" s="79"/>
      <c r="G17" s="78">
        <v>93942</v>
      </c>
      <c r="H17" s="78">
        <v>32012</v>
      </c>
      <c r="I17" s="79"/>
      <c r="J17" s="79"/>
    </row>
    <row r="18" spans="2:10" x14ac:dyDescent="0.3">
      <c r="C18" s="48"/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theme="9" tint="0.39997558519241921"/>
  </sheetPr>
  <dimension ref="B2:I15"/>
  <sheetViews>
    <sheetView showGridLines="0" zoomScale="116" zoomScaleNormal="160" workbookViewId="0">
      <selection activeCell="F15" sqref="F15"/>
    </sheetView>
  </sheetViews>
  <sheetFormatPr baseColWidth="10" defaultRowHeight="14.4" x14ac:dyDescent="0.3"/>
  <cols>
    <col min="3" max="3" width="15.44140625" customWidth="1"/>
    <col min="4" max="5" width="12.6640625" customWidth="1"/>
    <col min="6" max="6" width="15.6640625" customWidth="1"/>
    <col min="7" max="8" width="12.6640625" customWidth="1"/>
  </cols>
  <sheetData>
    <row r="2" spans="2:9" x14ac:dyDescent="0.3">
      <c r="H2" s="179">
        <v>1</v>
      </c>
      <c r="I2">
        <v>1</v>
      </c>
    </row>
    <row r="3" spans="2:9" x14ac:dyDescent="0.3">
      <c r="H3" s="179">
        <v>2</v>
      </c>
      <c r="I3">
        <v>2</v>
      </c>
    </row>
    <row r="4" spans="2:9" x14ac:dyDescent="0.3">
      <c r="H4" s="179">
        <v>44961</v>
      </c>
      <c r="I4" s="180">
        <v>44961</v>
      </c>
    </row>
    <row r="9" spans="2:9" ht="15.6" x14ac:dyDescent="0.3">
      <c r="B9" s="59" t="s">
        <v>146</v>
      </c>
      <c r="C9" s="59" t="s">
        <v>147</v>
      </c>
      <c r="D9" s="59" t="s">
        <v>148</v>
      </c>
      <c r="E9" s="59" t="s">
        <v>149</v>
      </c>
      <c r="F9" s="59" t="s">
        <v>150</v>
      </c>
      <c r="G9" s="59" t="s">
        <v>139</v>
      </c>
      <c r="H9" s="59" t="s">
        <v>151</v>
      </c>
    </row>
    <row r="10" spans="2:9" x14ac:dyDescent="0.3">
      <c r="B10" s="60" t="s">
        <v>152</v>
      </c>
      <c r="C10" s="60">
        <v>25698</v>
      </c>
      <c r="D10" s="67">
        <v>1027.92</v>
      </c>
      <c r="E10" s="81">
        <v>45177</v>
      </c>
      <c r="F10" s="67"/>
      <c r="G10" s="80"/>
      <c r="H10" s="81"/>
    </row>
    <row r="11" spans="2:9" x14ac:dyDescent="0.3">
      <c r="B11" s="61" t="s">
        <v>153</v>
      </c>
      <c r="C11" s="61">
        <v>14569</v>
      </c>
      <c r="D11" s="69">
        <v>582.76</v>
      </c>
      <c r="E11" s="82">
        <v>45174</v>
      </c>
      <c r="F11" s="69"/>
      <c r="G11" s="69"/>
      <c r="H11" s="82"/>
    </row>
    <row r="12" spans="2:9" x14ac:dyDescent="0.3">
      <c r="B12" s="62" t="s">
        <v>154</v>
      </c>
      <c r="C12" s="62">
        <v>78985</v>
      </c>
      <c r="D12" s="71">
        <v>3159.4</v>
      </c>
      <c r="E12" s="83">
        <v>45154</v>
      </c>
      <c r="F12" s="71"/>
      <c r="G12" s="71"/>
      <c r="H12" s="83"/>
    </row>
    <row r="13" spans="2:9" x14ac:dyDescent="0.3">
      <c r="B13" s="61" t="s">
        <v>155</v>
      </c>
      <c r="C13" s="61">
        <v>2569</v>
      </c>
      <c r="D13" s="69">
        <v>102.76</v>
      </c>
      <c r="E13" s="82">
        <v>45172</v>
      </c>
      <c r="F13" s="69"/>
      <c r="G13" s="69"/>
      <c r="H13" s="82"/>
    </row>
    <row r="14" spans="2:9" x14ac:dyDescent="0.3">
      <c r="B14" s="62" t="s">
        <v>156</v>
      </c>
      <c r="C14" s="62">
        <v>45623</v>
      </c>
      <c r="D14" s="71">
        <v>1824.92</v>
      </c>
      <c r="E14" s="83">
        <v>45152</v>
      </c>
      <c r="F14" s="71"/>
      <c r="G14" s="71"/>
      <c r="H14" s="83"/>
    </row>
    <row r="15" spans="2:9" x14ac:dyDescent="0.3">
      <c r="C15" s="48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theme="9" tint="0.39997558519241921"/>
  </sheetPr>
  <dimension ref="B3:E16"/>
  <sheetViews>
    <sheetView showGridLines="0" zoomScale="99" zoomScaleNormal="160" workbookViewId="0">
      <selection activeCell="E12" sqref="E12"/>
    </sheetView>
  </sheetViews>
  <sheetFormatPr baseColWidth="10" defaultColWidth="11.44140625" defaultRowHeight="14.4" x14ac:dyDescent="0.3"/>
  <cols>
    <col min="1" max="1" width="11.44140625" style="84"/>
    <col min="2" max="2" width="20.44140625" style="84" bestFit="1" customWidth="1"/>
    <col min="3" max="3" width="16.5546875" style="84" customWidth="1"/>
    <col min="4" max="4" width="19" style="84" customWidth="1"/>
    <col min="5" max="5" width="13.33203125" style="84" customWidth="1"/>
    <col min="6" max="16384" width="11.44140625" style="84"/>
  </cols>
  <sheetData>
    <row r="3" spans="2:5" x14ac:dyDescent="0.3">
      <c r="C3"/>
    </row>
    <row r="4" spans="2:5" x14ac:dyDescent="0.3">
      <c r="C4"/>
    </row>
    <row r="5" spans="2:5" x14ac:dyDescent="0.3">
      <c r="C5"/>
    </row>
    <row r="6" spans="2:5" x14ac:dyDescent="0.3">
      <c r="C6"/>
    </row>
    <row r="7" spans="2:5" x14ac:dyDescent="0.3">
      <c r="B7" s="126" t="s">
        <v>160</v>
      </c>
      <c r="C7" s="88">
        <v>3.15</v>
      </c>
    </row>
    <row r="11" spans="2:5" x14ac:dyDescent="0.3">
      <c r="B11" s="127" t="s">
        <v>159</v>
      </c>
      <c r="C11" s="127" t="s">
        <v>158</v>
      </c>
      <c r="D11" s="127" t="s">
        <v>157</v>
      </c>
    </row>
    <row r="12" spans="2:5" x14ac:dyDescent="0.3">
      <c r="B12" s="87" t="s">
        <v>107</v>
      </c>
      <c r="C12" s="87">
        <v>10</v>
      </c>
      <c r="D12" s="86"/>
      <c r="E12" s="85"/>
    </row>
    <row r="13" spans="2:5" x14ac:dyDescent="0.3">
      <c r="B13" s="87" t="s">
        <v>108</v>
      </c>
      <c r="C13" s="87">
        <v>12</v>
      </c>
      <c r="D13" s="86"/>
      <c r="E13" s="85"/>
    </row>
    <row r="14" spans="2:5" x14ac:dyDescent="0.3">
      <c r="B14" s="87" t="s">
        <v>109</v>
      </c>
      <c r="C14" s="87">
        <v>5</v>
      </c>
      <c r="D14" s="86"/>
      <c r="E14" s="85"/>
    </row>
    <row r="15" spans="2:5" x14ac:dyDescent="0.3">
      <c r="B15" s="87" t="s">
        <v>110</v>
      </c>
      <c r="C15" s="87">
        <v>7</v>
      </c>
      <c r="D15" s="86"/>
      <c r="E15" s="85"/>
    </row>
    <row r="16" spans="2:5" x14ac:dyDescent="0.3">
      <c r="B16" s="87" t="s">
        <v>111</v>
      </c>
      <c r="C16" s="87">
        <v>4</v>
      </c>
      <c r="D16" s="86"/>
      <c r="E16" s="85"/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theme="9" tint="0.39997558519241921"/>
  </sheetPr>
  <dimension ref="B6:G23"/>
  <sheetViews>
    <sheetView showGridLines="0" zoomScale="94" zoomScaleNormal="140" workbookViewId="0">
      <selection activeCell="E12" sqref="E12"/>
    </sheetView>
  </sheetViews>
  <sheetFormatPr baseColWidth="10" defaultColWidth="11.44140625" defaultRowHeight="14.4" x14ac:dyDescent="0.3"/>
  <cols>
    <col min="1" max="1" width="11.44140625" style="84"/>
    <col min="2" max="2" width="32.33203125" style="84" bestFit="1" customWidth="1"/>
    <col min="3" max="3" width="20.33203125" style="84" customWidth="1"/>
    <col min="4" max="5" width="11.44140625" style="84"/>
    <col min="6" max="6" width="20.6640625" style="84" customWidth="1"/>
    <col min="7" max="16384" width="11.44140625" style="84"/>
  </cols>
  <sheetData>
    <row r="6" spans="2:7" x14ac:dyDescent="0.3">
      <c r="E6" s="94"/>
      <c r="F6" s="94"/>
    </row>
    <row r="7" spans="2:7" x14ac:dyDescent="0.3">
      <c r="E7" s="94"/>
      <c r="F7" s="94"/>
    </row>
    <row r="8" spans="2:7" x14ac:dyDescent="0.3">
      <c r="E8" s="93" t="s">
        <v>187</v>
      </c>
      <c r="F8" s="92">
        <v>0.2</v>
      </c>
    </row>
    <row r="10" spans="2:7" x14ac:dyDescent="0.3">
      <c r="D10" s="91"/>
    </row>
    <row r="11" spans="2:7" ht="24" customHeight="1" x14ac:dyDescent="0.3">
      <c r="B11" s="129" t="s">
        <v>146</v>
      </c>
      <c r="C11" s="129" t="s">
        <v>186</v>
      </c>
      <c r="D11" s="130" t="s">
        <v>53</v>
      </c>
      <c r="E11" s="129" t="s">
        <v>36</v>
      </c>
      <c r="F11" s="129" t="s">
        <v>185</v>
      </c>
    </row>
    <row r="12" spans="2:7" x14ac:dyDescent="0.3">
      <c r="B12" s="90" t="s">
        <v>184</v>
      </c>
      <c r="C12" s="90" t="s">
        <v>183</v>
      </c>
      <c r="D12" s="89">
        <v>118</v>
      </c>
      <c r="E12" s="90">
        <v>10</v>
      </c>
      <c r="F12" s="89"/>
      <c r="G12" s="128" t="s">
        <v>244</v>
      </c>
    </row>
    <row r="13" spans="2:7" x14ac:dyDescent="0.3">
      <c r="B13" s="90" t="s">
        <v>182</v>
      </c>
      <c r="C13" s="90" t="s">
        <v>181</v>
      </c>
      <c r="D13" s="89">
        <v>94</v>
      </c>
      <c r="E13" s="90">
        <v>12</v>
      </c>
      <c r="F13" s="89"/>
      <c r="G13" s="128" t="s">
        <v>245</v>
      </c>
    </row>
    <row r="14" spans="2:7" x14ac:dyDescent="0.3">
      <c r="B14" s="90" t="s">
        <v>180</v>
      </c>
      <c r="C14" s="90" t="s">
        <v>179</v>
      </c>
      <c r="D14" s="89">
        <v>67</v>
      </c>
      <c r="E14" s="90">
        <v>9</v>
      </c>
      <c r="F14" s="89"/>
      <c r="G14" s="128" t="s">
        <v>246</v>
      </c>
    </row>
    <row r="15" spans="2:7" x14ac:dyDescent="0.3">
      <c r="B15" s="90" t="s">
        <v>178</v>
      </c>
      <c r="C15" s="90" t="s">
        <v>177</v>
      </c>
      <c r="D15" s="89">
        <v>20</v>
      </c>
      <c r="E15" s="90">
        <v>21</v>
      </c>
      <c r="F15" s="89"/>
      <c r="G15" s="128" t="s">
        <v>247</v>
      </c>
    </row>
    <row r="16" spans="2:7" x14ac:dyDescent="0.3">
      <c r="B16" s="90" t="s">
        <v>176</v>
      </c>
      <c r="C16" s="90" t="s">
        <v>175</v>
      </c>
      <c r="D16" s="89">
        <v>52</v>
      </c>
      <c r="E16" s="90">
        <v>21</v>
      </c>
      <c r="F16" s="89"/>
      <c r="G16" s="128" t="s">
        <v>248</v>
      </c>
    </row>
    <row r="17" spans="2:7" x14ac:dyDescent="0.3">
      <c r="B17" s="90" t="s">
        <v>174</v>
      </c>
      <c r="C17" s="90" t="s">
        <v>173</v>
      </c>
      <c r="D17" s="89">
        <v>94</v>
      </c>
      <c r="E17" s="90">
        <v>25</v>
      </c>
      <c r="F17" s="89"/>
      <c r="G17" s="128" t="s">
        <v>249</v>
      </c>
    </row>
    <row r="18" spans="2:7" x14ac:dyDescent="0.3">
      <c r="B18" s="90" t="s">
        <v>172</v>
      </c>
      <c r="C18" s="90" t="s">
        <v>171</v>
      </c>
      <c r="D18" s="89">
        <v>29</v>
      </c>
      <c r="E18" s="90">
        <v>35</v>
      </c>
      <c r="F18" s="89"/>
      <c r="G18" s="128" t="s">
        <v>250</v>
      </c>
    </row>
    <row r="19" spans="2:7" x14ac:dyDescent="0.3">
      <c r="B19" s="90" t="s">
        <v>170</v>
      </c>
      <c r="C19" s="90" t="s">
        <v>169</v>
      </c>
      <c r="D19" s="89">
        <v>55</v>
      </c>
      <c r="E19" s="90">
        <v>65</v>
      </c>
      <c r="F19" s="89"/>
      <c r="G19" s="128" t="s">
        <v>251</v>
      </c>
    </row>
    <row r="20" spans="2:7" x14ac:dyDescent="0.3">
      <c r="B20" s="90" t="s">
        <v>168</v>
      </c>
      <c r="C20" s="90" t="s">
        <v>167</v>
      </c>
      <c r="D20" s="89">
        <v>127</v>
      </c>
      <c r="E20" s="90">
        <v>10</v>
      </c>
      <c r="F20" s="89"/>
      <c r="G20" s="128" t="s">
        <v>252</v>
      </c>
    </row>
    <row r="21" spans="2:7" x14ac:dyDescent="0.3">
      <c r="B21" s="90" t="s">
        <v>166</v>
      </c>
      <c r="C21" s="90" t="s">
        <v>165</v>
      </c>
      <c r="D21" s="89">
        <v>102</v>
      </c>
      <c r="E21" s="90">
        <v>16</v>
      </c>
      <c r="F21" s="89"/>
      <c r="G21" s="128" t="s">
        <v>253</v>
      </c>
    </row>
    <row r="22" spans="2:7" x14ac:dyDescent="0.3">
      <c r="B22" s="90" t="s">
        <v>164</v>
      </c>
      <c r="C22" s="90" t="s">
        <v>163</v>
      </c>
      <c r="D22" s="89">
        <v>505</v>
      </c>
      <c r="E22" s="90">
        <v>36</v>
      </c>
      <c r="F22" s="89"/>
      <c r="G22" s="128" t="s">
        <v>254</v>
      </c>
    </row>
    <row r="23" spans="2:7" x14ac:dyDescent="0.3">
      <c r="B23" s="90" t="s">
        <v>162</v>
      </c>
      <c r="C23" s="90" t="s">
        <v>161</v>
      </c>
      <c r="D23" s="89">
        <v>12</v>
      </c>
      <c r="E23" s="90">
        <v>24</v>
      </c>
      <c r="F23" s="89"/>
      <c r="G23" s="128" t="s">
        <v>255</v>
      </c>
    </row>
  </sheetData>
  <conditionalFormatting sqref="G12:G23">
    <cfRule type="expression" dxfId="0" priority="1">
      <formula>$F12&lt;&gt;""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theme="9" tint="0.39997558519241921"/>
  </sheetPr>
  <dimension ref="B6:G22"/>
  <sheetViews>
    <sheetView showGridLines="0" topLeftCell="A3" zoomScale="125" zoomScaleNormal="150" workbookViewId="0">
      <selection activeCell="I20" sqref="I20"/>
    </sheetView>
  </sheetViews>
  <sheetFormatPr baseColWidth="10" defaultColWidth="11.44140625" defaultRowHeight="14.4" x14ac:dyDescent="0.3"/>
  <cols>
    <col min="1" max="1" width="11.44140625" style="84"/>
    <col min="2" max="2" width="17.6640625" style="84" customWidth="1"/>
    <col min="3" max="6" width="11.44140625" style="84"/>
    <col min="7" max="7" width="12.5546875" style="84" customWidth="1"/>
    <col min="8" max="16384" width="11.44140625" style="84"/>
  </cols>
  <sheetData>
    <row r="6" spans="2:7" ht="15" thickBot="1" x14ac:dyDescent="0.35"/>
    <row r="7" spans="2:7" ht="21" thickBot="1" x14ac:dyDescent="0.4">
      <c r="B7" s="188" t="s">
        <v>256</v>
      </c>
      <c r="C7" s="189"/>
      <c r="D7" s="189"/>
      <c r="E7" s="189"/>
      <c r="F7" s="189"/>
      <c r="G7" s="190"/>
    </row>
    <row r="8" spans="2:7" x14ac:dyDescent="0.3">
      <c r="B8" s="131"/>
      <c r="C8" s="95"/>
      <c r="D8" s="95"/>
      <c r="E8" s="95"/>
      <c r="F8" s="95"/>
      <c r="G8" s="132"/>
    </row>
    <row r="9" spans="2:7" x14ac:dyDescent="0.3">
      <c r="B9" s="133"/>
      <c r="G9" s="134"/>
    </row>
    <row r="10" spans="2:7" ht="15.6" x14ac:dyDescent="0.3">
      <c r="B10" s="133"/>
      <c r="C10" s="136" t="s">
        <v>187</v>
      </c>
      <c r="D10" s="137">
        <v>0.25</v>
      </c>
      <c r="G10" s="134"/>
    </row>
    <row r="11" spans="2:7" ht="15.6" x14ac:dyDescent="0.3">
      <c r="B11" s="133"/>
      <c r="C11" s="136" t="s">
        <v>197</v>
      </c>
      <c r="D11" s="137">
        <v>0.18</v>
      </c>
      <c r="G11" s="134"/>
    </row>
    <row r="12" spans="2:7" x14ac:dyDescent="0.3">
      <c r="B12" s="133"/>
      <c r="G12" s="134"/>
    </row>
    <row r="13" spans="2:7" x14ac:dyDescent="0.3">
      <c r="B13" s="133"/>
      <c r="G13" s="134"/>
    </row>
    <row r="14" spans="2:7" x14ac:dyDescent="0.3">
      <c r="B14" s="138" t="s">
        <v>196</v>
      </c>
      <c r="C14" s="139" t="s">
        <v>36</v>
      </c>
      <c r="D14" s="139" t="s">
        <v>53</v>
      </c>
      <c r="E14" s="139" t="s">
        <v>35</v>
      </c>
      <c r="F14" s="139" t="s">
        <v>187</v>
      </c>
      <c r="G14" s="140" t="s">
        <v>195</v>
      </c>
    </row>
    <row r="15" spans="2:7" x14ac:dyDescent="0.3">
      <c r="B15" s="141" t="s">
        <v>194</v>
      </c>
      <c r="C15" s="142">
        <v>15</v>
      </c>
      <c r="D15" s="143">
        <v>100</v>
      </c>
      <c r="E15" s="144"/>
      <c r="F15" s="144"/>
      <c r="G15" s="145"/>
    </row>
    <row r="16" spans="2:7" x14ac:dyDescent="0.3">
      <c r="B16" s="146" t="s">
        <v>193</v>
      </c>
      <c r="C16" s="147">
        <v>23</v>
      </c>
      <c r="D16" s="148">
        <v>100</v>
      </c>
      <c r="E16" s="149"/>
      <c r="F16" s="149"/>
      <c r="G16" s="150"/>
    </row>
    <row r="17" spans="2:7" x14ac:dyDescent="0.3">
      <c r="B17" s="146" t="s">
        <v>192</v>
      </c>
      <c r="C17" s="147">
        <v>32</v>
      </c>
      <c r="D17" s="148">
        <v>120</v>
      </c>
      <c r="E17" s="149"/>
      <c r="F17" s="149"/>
      <c r="G17" s="150"/>
    </row>
    <row r="18" spans="2:7" x14ac:dyDescent="0.3">
      <c r="B18" s="146" t="s">
        <v>191</v>
      </c>
      <c r="C18" s="147">
        <v>45</v>
      </c>
      <c r="D18" s="148">
        <v>200</v>
      </c>
      <c r="E18" s="149"/>
      <c r="F18" s="149"/>
      <c r="G18" s="150"/>
    </row>
    <row r="19" spans="2:7" x14ac:dyDescent="0.3">
      <c r="B19" s="151"/>
      <c r="C19" s="152"/>
      <c r="D19" s="153"/>
      <c r="E19" s="154"/>
      <c r="F19" s="154"/>
      <c r="G19" s="155"/>
    </row>
    <row r="20" spans="2:7" ht="20.100000000000001" customHeight="1" x14ac:dyDescent="0.3">
      <c r="B20" s="135" t="s">
        <v>190</v>
      </c>
      <c r="E20" s="156"/>
      <c r="F20" s="156"/>
      <c r="G20" s="157"/>
    </row>
    <row r="21" spans="2:7" ht="20.100000000000001" customHeight="1" thickBot="1" x14ac:dyDescent="0.35">
      <c r="B21" s="133"/>
      <c r="E21" s="160"/>
      <c r="F21" s="158" t="s">
        <v>189</v>
      </c>
      <c r="G21" s="159"/>
    </row>
    <row r="22" spans="2:7" ht="20.100000000000001" customHeight="1" thickBot="1" x14ac:dyDescent="0.35">
      <c r="B22" s="161" t="s">
        <v>188</v>
      </c>
      <c r="C22" s="162"/>
      <c r="D22" s="162"/>
      <c r="E22" s="162"/>
      <c r="F22" s="162"/>
      <c r="G22" s="163"/>
    </row>
  </sheetData>
  <mergeCells count="1">
    <mergeCell ref="B7:G7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>
    <tabColor theme="9" tint="0.39997558519241921"/>
  </sheetPr>
  <dimension ref="B6:F15"/>
  <sheetViews>
    <sheetView showGridLines="0" zoomScale="122" zoomScaleNormal="140" workbookViewId="0">
      <selection activeCell="I16" sqref="I16"/>
    </sheetView>
  </sheetViews>
  <sheetFormatPr baseColWidth="10" defaultColWidth="11.44140625" defaultRowHeight="14.4" x14ac:dyDescent="0.3"/>
  <cols>
    <col min="1" max="3" width="11.44140625" style="84"/>
    <col min="4" max="4" width="14.44140625" style="84" customWidth="1"/>
    <col min="5" max="5" width="11.6640625" style="84" customWidth="1"/>
    <col min="6" max="6" width="15.44140625" style="84" customWidth="1"/>
    <col min="7" max="16384" width="11.44140625" style="84"/>
  </cols>
  <sheetData>
    <row r="6" spans="2:6" ht="31.2" x14ac:dyDescent="0.3">
      <c r="B6" s="164" t="s">
        <v>210</v>
      </c>
      <c r="C6" s="108"/>
      <c r="D6" s="108"/>
      <c r="E6" s="108"/>
      <c r="F6" s="108"/>
    </row>
    <row r="8" spans="2:6" ht="21" customHeight="1" x14ac:dyDescent="0.3">
      <c r="B8" s="107" t="s">
        <v>209</v>
      </c>
      <c r="C8" s="106" t="s">
        <v>208</v>
      </c>
      <c r="D8" s="106" t="s">
        <v>207</v>
      </c>
      <c r="E8" s="106" t="s">
        <v>206</v>
      </c>
      <c r="F8" s="105" t="s">
        <v>205</v>
      </c>
    </row>
    <row r="9" spans="2:6" x14ac:dyDescent="0.3">
      <c r="B9" s="104" t="s">
        <v>204</v>
      </c>
      <c r="C9" s="103">
        <v>79</v>
      </c>
      <c r="D9" s="183"/>
      <c r="E9" s="103">
        <v>61</v>
      </c>
      <c r="F9" s="102"/>
    </row>
    <row r="10" spans="2:6" x14ac:dyDescent="0.3">
      <c r="B10" s="101" t="s">
        <v>203</v>
      </c>
      <c r="C10" s="100">
        <v>66</v>
      </c>
      <c r="D10" s="184"/>
      <c r="E10" s="100">
        <v>48</v>
      </c>
      <c r="F10" s="99"/>
    </row>
    <row r="11" spans="2:6" x14ac:dyDescent="0.3">
      <c r="B11" s="104" t="s">
        <v>202</v>
      </c>
      <c r="C11" s="103">
        <v>55</v>
      </c>
      <c r="D11" s="183"/>
      <c r="E11" s="103">
        <v>62</v>
      </c>
      <c r="F11" s="102"/>
    </row>
    <row r="12" spans="2:6" x14ac:dyDescent="0.3">
      <c r="B12" s="101" t="s">
        <v>201</v>
      </c>
      <c r="C12" s="100">
        <v>25</v>
      </c>
      <c r="D12" s="184"/>
      <c r="E12" s="100">
        <v>90</v>
      </c>
      <c r="F12" s="99"/>
    </row>
    <row r="13" spans="2:6" x14ac:dyDescent="0.3">
      <c r="B13" s="104" t="s">
        <v>200</v>
      </c>
      <c r="C13" s="103">
        <v>20</v>
      </c>
      <c r="D13" s="183"/>
      <c r="E13" s="103">
        <v>21</v>
      </c>
      <c r="F13" s="102"/>
    </row>
    <row r="14" spans="2:6" x14ac:dyDescent="0.3">
      <c r="B14" s="101" t="s">
        <v>199</v>
      </c>
      <c r="C14" s="100">
        <v>41</v>
      </c>
      <c r="D14" s="184"/>
      <c r="E14" s="100">
        <v>22</v>
      </c>
      <c r="F14" s="99"/>
    </row>
    <row r="15" spans="2:6" ht="28.5" customHeight="1" x14ac:dyDescent="0.3">
      <c r="B15" s="165" t="s">
        <v>198</v>
      </c>
      <c r="C15" s="97">
        <f>SUM(C9:C14)</f>
        <v>286</v>
      </c>
      <c r="D15" s="98"/>
      <c r="E15" s="97">
        <f>SUM(E9:E14)</f>
        <v>304</v>
      </c>
      <c r="F15" s="96"/>
    </row>
  </sheetData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>
    <tabColor theme="9" tint="0.39997558519241921"/>
  </sheetPr>
  <dimension ref="B7:G15"/>
  <sheetViews>
    <sheetView showGridLines="0" zoomScale="121" zoomScaleNormal="150" workbookViewId="0">
      <selection activeCell="D10" sqref="D10:G14"/>
    </sheetView>
  </sheetViews>
  <sheetFormatPr baseColWidth="10" defaultColWidth="11.44140625" defaultRowHeight="14.4" x14ac:dyDescent="0.3"/>
  <cols>
    <col min="1" max="1" width="11.44140625" style="84"/>
    <col min="2" max="2" width="13.33203125" style="84" customWidth="1"/>
    <col min="3" max="3" width="14.5546875" style="84" customWidth="1"/>
    <col min="4" max="16384" width="11.44140625" style="84"/>
  </cols>
  <sheetData>
    <row r="7" spans="2:7" x14ac:dyDescent="0.3">
      <c r="D7" s="191" t="s">
        <v>217</v>
      </c>
      <c r="E7" s="191"/>
      <c r="F7" s="191"/>
      <c r="G7" s="191"/>
    </row>
    <row r="8" spans="2:7" x14ac:dyDescent="0.3">
      <c r="D8" s="109" t="s">
        <v>216</v>
      </c>
      <c r="E8" s="109" t="s">
        <v>215</v>
      </c>
      <c r="F8" s="109" t="s">
        <v>214</v>
      </c>
      <c r="G8" s="109" t="s">
        <v>213</v>
      </c>
    </row>
    <row r="9" spans="2:7" ht="20.100000000000001" customHeight="1" x14ac:dyDescent="0.3">
      <c r="B9" s="169" t="s">
        <v>212</v>
      </c>
      <c r="C9" s="169" t="s">
        <v>211</v>
      </c>
      <c r="D9" s="170">
        <v>0.35</v>
      </c>
      <c r="E9" s="170">
        <v>0.15</v>
      </c>
      <c r="F9" s="170">
        <v>0.2</v>
      </c>
      <c r="G9" s="170">
        <v>0.3</v>
      </c>
    </row>
    <row r="10" spans="2:7" ht="24.9" customHeight="1" x14ac:dyDescent="0.3">
      <c r="B10" s="166" t="s">
        <v>171</v>
      </c>
      <c r="C10" s="167">
        <v>100000</v>
      </c>
      <c r="D10" s="168"/>
      <c r="E10" s="168"/>
      <c r="F10" s="168"/>
      <c r="G10" s="168"/>
    </row>
    <row r="11" spans="2:7" ht="24.9" customHeight="1" x14ac:dyDescent="0.3">
      <c r="B11" s="166" t="s">
        <v>169</v>
      </c>
      <c r="C11" s="167">
        <v>150000</v>
      </c>
      <c r="D11" s="168"/>
      <c r="E11" s="168"/>
      <c r="F11" s="168"/>
      <c r="G11" s="168"/>
    </row>
    <row r="12" spans="2:7" ht="24.9" customHeight="1" x14ac:dyDescent="0.3">
      <c r="B12" s="166" t="s">
        <v>167</v>
      </c>
      <c r="C12" s="167">
        <v>350000</v>
      </c>
      <c r="D12" s="168"/>
      <c r="E12" s="168"/>
      <c r="F12" s="168"/>
      <c r="G12" s="168"/>
    </row>
    <row r="13" spans="2:7" ht="24.9" customHeight="1" x14ac:dyDescent="0.3">
      <c r="B13" s="166" t="s">
        <v>165</v>
      </c>
      <c r="C13" s="167">
        <v>75000</v>
      </c>
      <c r="D13" s="168"/>
      <c r="E13" s="168"/>
      <c r="F13" s="168"/>
      <c r="G13" s="168"/>
    </row>
    <row r="14" spans="2:7" ht="24.9" customHeight="1" x14ac:dyDescent="0.3">
      <c r="B14" s="166" t="s">
        <v>163</v>
      </c>
      <c r="C14" s="167">
        <v>675000</v>
      </c>
      <c r="D14" s="168"/>
      <c r="E14" s="168"/>
      <c r="F14" s="168"/>
      <c r="G14" s="168"/>
    </row>
    <row r="15" spans="2:7" x14ac:dyDescent="0.3">
      <c r="C15" s="181"/>
    </row>
  </sheetData>
  <mergeCells count="1">
    <mergeCell ref="D7:G7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>
    <tabColor theme="9" tint="0.39997558519241921"/>
  </sheetPr>
  <dimension ref="B7:K19"/>
  <sheetViews>
    <sheetView showGridLines="0" zoomScale="150" zoomScaleNormal="150" workbookViewId="0">
      <selection activeCell="I22" sqref="I22"/>
    </sheetView>
  </sheetViews>
  <sheetFormatPr baseColWidth="10" defaultColWidth="11.44140625" defaultRowHeight="14.4" x14ac:dyDescent="0.3"/>
  <cols>
    <col min="1" max="1" width="4.88671875" style="84" customWidth="1"/>
    <col min="2" max="2" width="17.5546875" style="84" customWidth="1"/>
    <col min="3" max="3" width="14.5546875" style="84" bestFit="1" customWidth="1"/>
    <col min="4" max="4" width="11.88671875" style="84" bestFit="1" customWidth="1"/>
    <col min="5" max="9" width="12" style="84" bestFit="1" customWidth="1"/>
    <col min="10" max="16384" width="11.44140625" style="84"/>
  </cols>
  <sheetData>
    <row r="7" spans="2:11" x14ac:dyDescent="0.3">
      <c r="B7" s="191" t="s">
        <v>232</v>
      </c>
      <c r="C7" s="191"/>
      <c r="D7" s="191"/>
      <c r="E7" s="191"/>
      <c r="F7" s="191"/>
      <c r="G7" s="191"/>
      <c r="H7" s="191"/>
      <c r="I7" s="191"/>
      <c r="J7" s="191"/>
      <c r="K7" s="191"/>
    </row>
    <row r="9" spans="2:11" x14ac:dyDescent="0.3">
      <c r="C9" s="116" t="s">
        <v>231</v>
      </c>
      <c r="D9" s="182">
        <v>0.1</v>
      </c>
      <c r="E9" s="182">
        <v>0.12</v>
      </c>
      <c r="F9" s="182">
        <v>0.15</v>
      </c>
      <c r="G9" s="182">
        <v>0.11</v>
      </c>
      <c r="H9" s="182">
        <v>0.13</v>
      </c>
      <c r="I9" s="182">
        <v>0.12</v>
      </c>
    </row>
    <row r="11" spans="2:11" x14ac:dyDescent="0.3">
      <c r="B11" s="114" t="s">
        <v>230</v>
      </c>
      <c r="C11" s="115" t="s">
        <v>265</v>
      </c>
      <c r="D11" s="110" t="s">
        <v>229</v>
      </c>
      <c r="E11" s="110" t="s">
        <v>228</v>
      </c>
      <c r="F11" s="110" t="s">
        <v>227</v>
      </c>
      <c r="G11" s="110" t="s">
        <v>226</v>
      </c>
      <c r="H11" s="110" t="s">
        <v>225</v>
      </c>
      <c r="I11" s="110" t="s">
        <v>224</v>
      </c>
      <c r="J11" s="114" t="s">
        <v>223</v>
      </c>
      <c r="K11" s="114" t="s">
        <v>222</v>
      </c>
    </row>
    <row r="12" spans="2:11" x14ac:dyDescent="0.3">
      <c r="B12" s="112" t="s">
        <v>194</v>
      </c>
      <c r="C12" s="111">
        <v>19687</v>
      </c>
      <c r="D12" s="113"/>
      <c r="E12" s="113"/>
      <c r="F12" s="113"/>
      <c r="G12" s="113"/>
      <c r="H12" s="113"/>
      <c r="I12" s="113"/>
      <c r="J12" s="171"/>
      <c r="K12" s="175"/>
    </row>
    <row r="13" spans="2:11" x14ac:dyDescent="0.3">
      <c r="B13" s="112" t="s">
        <v>193</v>
      </c>
      <c r="C13" s="111">
        <v>16742</v>
      </c>
      <c r="D13" s="113"/>
      <c r="E13" s="113"/>
      <c r="F13" s="113"/>
      <c r="G13" s="113"/>
      <c r="H13" s="113"/>
      <c r="I13" s="113"/>
      <c r="J13" s="171"/>
      <c r="K13" s="175"/>
    </row>
    <row r="14" spans="2:11" x14ac:dyDescent="0.3">
      <c r="B14" s="112" t="s">
        <v>192</v>
      </c>
      <c r="C14" s="111">
        <v>16557</v>
      </c>
      <c r="D14" s="113"/>
      <c r="E14" s="113"/>
      <c r="F14" s="113"/>
      <c r="G14" s="113"/>
      <c r="H14" s="113"/>
      <c r="I14" s="113"/>
      <c r="J14" s="171"/>
      <c r="K14" s="175"/>
    </row>
    <row r="15" spans="2:11" x14ac:dyDescent="0.3">
      <c r="B15" s="112" t="s">
        <v>191</v>
      </c>
      <c r="C15" s="111">
        <v>7624</v>
      </c>
      <c r="D15" s="113"/>
      <c r="E15" s="113"/>
      <c r="F15" s="113"/>
      <c r="G15" s="113"/>
      <c r="H15" s="113"/>
      <c r="I15" s="113"/>
      <c r="J15" s="171"/>
      <c r="K15" s="175"/>
    </row>
    <row r="16" spans="2:11" x14ac:dyDescent="0.3">
      <c r="B16" s="112" t="s">
        <v>221</v>
      </c>
      <c r="C16" s="111">
        <v>13848</v>
      </c>
      <c r="D16" s="113"/>
      <c r="E16" s="113"/>
      <c r="F16" s="113"/>
      <c r="G16" s="113"/>
      <c r="H16" s="113"/>
      <c r="I16" s="113"/>
      <c r="J16" s="171"/>
      <c r="K16" s="175"/>
    </row>
    <row r="17" spans="2:11" x14ac:dyDescent="0.3">
      <c r="B17" s="112" t="s">
        <v>220</v>
      </c>
      <c r="C17" s="111">
        <v>14831</v>
      </c>
      <c r="D17" s="113"/>
      <c r="E17" s="113"/>
      <c r="F17" s="113"/>
      <c r="G17" s="113"/>
      <c r="H17" s="113"/>
      <c r="I17" s="113"/>
      <c r="J17" s="171"/>
      <c r="K17" s="175"/>
    </row>
    <row r="18" spans="2:11" x14ac:dyDescent="0.3">
      <c r="C18" s="112" t="s">
        <v>219</v>
      </c>
      <c r="D18" s="171"/>
      <c r="E18" s="171"/>
      <c r="F18" s="171"/>
      <c r="G18" s="171"/>
      <c r="H18" s="171"/>
      <c r="I18" s="171"/>
      <c r="J18" s="172"/>
      <c r="K18" s="175"/>
    </row>
    <row r="19" spans="2:11" x14ac:dyDescent="0.3">
      <c r="C19" s="173" t="s">
        <v>218</v>
      </c>
      <c r="D19" s="174"/>
      <c r="E19" s="174"/>
      <c r="F19" s="174"/>
      <c r="G19" s="174"/>
      <c r="H19" s="174"/>
      <c r="I19" s="174"/>
    </row>
  </sheetData>
  <mergeCells count="1">
    <mergeCell ref="B7:K7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tabColor theme="9" tint="0.39997558519241921"/>
  </sheetPr>
  <dimension ref="B8:I19"/>
  <sheetViews>
    <sheetView showGridLines="0" zoomScale="71" zoomScaleNormal="150" workbookViewId="0">
      <selection activeCell="K20" sqref="K20"/>
    </sheetView>
  </sheetViews>
  <sheetFormatPr baseColWidth="10" defaultColWidth="11.44140625" defaultRowHeight="14.4" x14ac:dyDescent="0.3"/>
  <cols>
    <col min="1" max="1" width="11.44140625" style="84"/>
    <col min="2" max="2" width="10.6640625" style="84" bestFit="1" customWidth="1"/>
    <col min="3" max="3" width="14.5546875" style="84" bestFit="1" customWidth="1"/>
    <col min="4" max="4" width="11.88671875" style="84" bestFit="1" customWidth="1"/>
    <col min="5" max="9" width="12" style="84" bestFit="1" customWidth="1"/>
    <col min="10" max="16384" width="11.44140625" style="84"/>
  </cols>
  <sheetData>
    <row r="8" spans="2:9" x14ac:dyDescent="0.3">
      <c r="D8" s="192" t="s">
        <v>257</v>
      </c>
      <c r="E8" s="192"/>
      <c r="F8" s="192"/>
      <c r="G8" s="192"/>
      <c r="H8" s="192"/>
      <c r="I8" s="192"/>
    </row>
    <row r="9" spans="2:9" x14ac:dyDescent="0.3">
      <c r="D9" s="125">
        <v>0.05</v>
      </c>
      <c r="E9" s="125">
        <v>0.06</v>
      </c>
      <c r="F9" s="125">
        <v>7.0000000000000007E-2</v>
      </c>
      <c r="G9" s="125">
        <v>0.08</v>
      </c>
      <c r="H9" s="125">
        <v>0.08</v>
      </c>
      <c r="I9" s="125">
        <v>0.08</v>
      </c>
    </row>
    <row r="11" spans="2:9" ht="21.75" customHeight="1" x14ac:dyDescent="0.3">
      <c r="B11" s="124" t="s">
        <v>243</v>
      </c>
      <c r="C11" s="123" t="s">
        <v>242</v>
      </c>
      <c r="D11" s="123" t="s">
        <v>133</v>
      </c>
      <c r="E11" s="123" t="s">
        <v>134</v>
      </c>
      <c r="F11" s="123" t="s">
        <v>136</v>
      </c>
      <c r="G11" s="123" t="s">
        <v>137</v>
      </c>
      <c r="H11" s="123" t="s">
        <v>241</v>
      </c>
      <c r="I11" s="122" t="s">
        <v>240</v>
      </c>
    </row>
    <row r="12" spans="2:9" ht="18" customHeight="1" x14ac:dyDescent="0.3">
      <c r="B12" s="119" t="s">
        <v>239</v>
      </c>
      <c r="C12" s="118">
        <v>1500</v>
      </c>
      <c r="D12" s="118"/>
      <c r="E12" s="118"/>
      <c r="F12" s="118"/>
      <c r="G12" s="118"/>
      <c r="H12" s="118"/>
      <c r="I12" s="118"/>
    </row>
    <row r="13" spans="2:9" ht="18" customHeight="1" x14ac:dyDescent="0.3">
      <c r="B13" s="121" t="s">
        <v>238</v>
      </c>
      <c r="C13" s="120">
        <v>2500</v>
      </c>
      <c r="D13" s="120"/>
      <c r="E13" s="120"/>
      <c r="F13" s="120"/>
      <c r="G13" s="120"/>
      <c r="H13" s="120"/>
      <c r="I13" s="120"/>
    </row>
    <row r="14" spans="2:9" ht="18" customHeight="1" x14ac:dyDescent="0.3">
      <c r="B14" s="119" t="s">
        <v>237</v>
      </c>
      <c r="C14" s="118">
        <v>1800</v>
      </c>
      <c r="D14" s="118"/>
      <c r="E14" s="118"/>
      <c r="F14" s="118"/>
      <c r="G14" s="118"/>
      <c r="H14" s="118"/>
      <c r="I14" s="118"/>
    </row>
    <row r="15" spans="2:9" ht="18" customHeight="1" x14ac:dyDescent="0.3">
      <c r="B15" s="121" t="s">
        <v>236</v>
      </c>
      <c r="C15" s="120">
        <v>1700</v>
      </c>
      <c r="D15" s="120"/>
      <c r="E15" s="120"/>
      <c r="F15" s="120"/>
      <c r="G15" s="120"/>
      <c r="H15" s="120"/>
      <c r="I15" s="120"/>
    </row>
    <row r="16" spans="2:9" ht="18" customHeight="1" x14ac:dyDescent="0.3">
      <c r="B16" s="119" t="s">
        <v>235</v>
      </c>
      <c r="C16" s="118">
        <v>2300</v>
      </c>
      <c r="D16" s="118"/>
      <c r="E16" s="118"/>
      <c r="F16" s="118"/>
      <c r="G16" s="118"/>
      <c r="H16" s="118"/>
      <c r="I16" s="118"/>
    </row>
    <row r="17" spans="2:9" ht="18" customHeight="1" x14ac:dyDescent="0.3">
      <c r="B17" s="121" t="s">
        <v>234</v>
      </c>
      <c r="C17" s="120">
        <v>3100</v>
      </c>
      <c r="D17" s="120"/>
      <c r="E17" s="120"/>
      <c r="F17" s="120"/>
      <c r="G17" s="120"/>
      <c r="H17" s="120"/>
      <c r="I17" s="120"/>
    </row>
    <row r="18" spans="2:9" ht="18" customHeight="1" x14ac:dyDescent="0.3">
      <c r="B18" s="119" t="s">
        <v>233</v>
      </c>
      <c r="C18" s="118">
        <v>1200</v>
      </c>
      <c r="D18" s="118"/>
      <c r="E18" s="118"/>
      <c r="F18" s="118"/>
      <c r="G18" s="118"/>
      <c r="H18" s="118"/>
      <c r="I18" s="118"/>
    </row>
    <row r="19" spans="2:9" x14ac:dyDescent="0.3">
      <c r="B19" s="117"/>
    </row>
  </sheetData>
  <mergeCells count="1">
    <mergeCell ref="D8:I8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Inicio</vt:lpstr>
      <vt:lpstr>Conceptos básicos</vt:lpstr>
      <vt:lpstr>Operadores</vt:lpstr>
      <vt:lpstr>Parentisis</vt:lpstr>
      <vt:lpstr>Celda Relativa</vt:lpstr>
      <vt:lpstr>Celda Absoluta</vt:lpstr>
      <vt:lpstr>Celda Mixta</vt:lpstr>
      <vt:lpstr>Ejemplo 01</vt:lpstr>
      <vt:lpstr>Ejemplo 02</vt:lpstr>
      <vt:lpstr>Ejemplo 03</vt:lpstr>
      <vt:lpstr>Ejemplo 04</vt:lpstr>
      <vt:lpstr>Ejemplo 05</vt:lpstr>
      <vt:lpstr>Ejemplo 06</vt:lpstr>
      <vt:lpstr>Ejemplo 07</vt:lpstr>
      <vt:lpstr>Ejemplo 08</vt:lpstr>
      <vt:lpstr>Ejemplo 09</vt:lpstr>
      <vt:lpstr>Ejemplo 10</vt:lpstr>
      <vt:lpstr>Ejemplo 11</vt:lpstr>
      <vt:lpstr>Ejemplo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>kener stiven</cp:lastModifiedBy>
  <dcterms:created xsi:type="dcterms:W3CDTF">2018-02-03T09:21:33Z</dcterms:created>
  <dcterms:modified xsi:type="dcterms:W3CDTF">2026-08-29T02:51:37Z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v-rimour@microsoft.com</vt:lpwstr>
  </property>
  <property fmtid="{D5CDD505-2E9C-101B-9397-08002B2CF9AE}" pid="5" name="MSIP_Label_f42aa342-8706-4288-bd11-ebb85995028c_SetDate">
    <vt:lpwstr>2018-02-03T09:21:40.8531961Z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